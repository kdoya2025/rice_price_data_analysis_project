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13_ncr:40009_{109A494F-524C-40AD-B432-BFCD57B9D27C}" xr6:coauthVersionLast="47" xr6:coauthVersionMax="47" xr10:uidLastSave="{00000000-0000-0000-0000-000000000000}"/>
  <bookViews>
    <workbookView xWindow="-120" yWindow="-120" windowWidth="20730" windowHeight="11760" activeTab="1"/>
  </bookViews>
  <sheets>
    <sheet name="rice_price_cleaned_dataset" sheetId="1" r:id="rId1"/>
    <sheet name="pivotable" sheetId="2" r:id="rId2"/>
    <sheet name="Dashboard" sheetId="4" r:id="rId3"/>
  </sheets>
  <definedNames>
    <definedName name="NativeTimeline_Date">#N/A</definedName>
    <definedName name="Slicer_Import_Export">#N/A</definedName>
    <definedName name="Slicer_Region">#N/A</definedName>
    <definedName name="Slicer_Rice_Type">#N/A</definedName>
  </definedNames>
  <calcPr calcId="0"/>
  <pivotCaches>
    <pivotCache cacheId="88"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Lst>
</workbook>
</file>

<file path=xl/calcChain.xml><?xml version="1.0" encoding="utf-8"?>
<calcChain xmlns="http://schemas.openxmlformats.org/spreadsheetml/2006/main">
  <c r="A71" i="2" l="1"/>
</calcChain>
</file>

<file path=xl/sharedStrings.xml><?xml version="1.0" encoding="utf-8"?>
<sst xmlns="http://schemas.openxmlformats.org/spreadsheetml/2006/main" count="2753" uniqueCount="35">
  <si>
    <t>Rice_ID</t>
  </si>
  <si>
    <t>Region</t>
  </si>
  <si>
    <t>Rice_Type</t>
  </si>
  <si>
    <t>Price_per_kg</t>
  </si>
  <si>
    <t>Demand_Tons</t>
  </si>
  <si>
    <t>Supply_Tons</t>
  </si>
  <si>
    <t>Rainfall_mm</t>
  </si>
  <si>
    <t>Temperature_C</t>
  </si>
  <si>
    <t>Import_Export</t>
  </si>
  <si>
    <t>Date</t>
  </si>
  <si>
    <t>Year</t>
  </si>
  <si>
    <t>West</t>
  </si>
  <si>
    <t>Brown</t>
  </si>
  <si>
    <t>Export</t>
  </si>
  <si>
    <t>North</t>
  </si>
  <si>
    <t>Basmati</t>
  </si>
  <si>
    <t>basmati</t>
  </si>
  <si>
    <t>East</t>
  </si>
  <si>
    <t>Import</t>
  </si>
  <si>
    <t>White</t>
  </si>
  <si>
    <t>Jasmine</t>
  </si>
  <si>
    <t>South</t>
  </si>
  <si>
    <t>import</t>
  </si>
  <si>
    <t>Row Labels</t>
  </si>
  <si>
    <t>Grand Total</t>
  </si>
  <si>
    <t>Sum of Supply_Tons</t>
  </si>
  <si>
    <t>Sum of Demand_Tons</t>
  </si>
  <si>
    <t>Total Demand_Tons</t>
  </si>
  <si>
    <t>Total Supply_Tons</t>
  </si>
  <si>
    <t>Count of Import_Export</t>
  </si>
  <si>
    <t>Total shipment</t>
  </si>
  <si>
    <t>Sum of Price_per_kg</t>
  </si>
  <si>
    <t>Average of Price_per_kg</t>
  </si>
  <si>
    <t>Last update date</t>
  </si>
  <si>
    <t>unknow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</si>
</sst>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6" formatCode="&quot;$&quot;#,##0.0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10" fontId="0" fillId="0" borderId="0" xfId="0" applyNumberFormat="1"/>
    <xf numFmtId="166"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
    <dxf>
      <numFmt numFmtId="166" formatCode="&quot;$&quot;#,##0.00"/>
    </dxf>
    <dxf>
      <numFmt numFmtId="166" formatCode="&quot;$&quot;#,##0.00"/>
    </dxf>
    <dxf>
      <numFmt numFmtId="166" formatCode="&quot;$&quot;#,##0.00"/>
    </dxf>
    <dxf>
      <numFmt numFmtId="166" formatCode="&quot;$&quot;#,##0.00"/>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[rice_price_cleaned_dataset.xlsx]pivotable!PivotTable2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pivotable!$B$7</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pivotable!$A$8:$A$11</c:f>
              <c:strCache>
                <c:ptCount val="3"/>
                <c:pt idx="0">
                  <c:v>Export</c:v>
                </c:pt>
                <c:pt idx="1">
                  <c:v>Import</c:v>
                </c:pt>
                <c:pt idx="2">
                  <c:v>unknow</c:v>
                </c:pt>
              </c:strCache>
            </c:strRef>
          </c:cat>
          <c:val>
            <c:numRef>
              <c:f>pivotable!$B$8:$B$11</c:f>
              <c:numCache>
                <c:formatCode>0.00%</c:formatCode>
                <c:ptCount val="3"/>
                <c:pt idx="0">
                  <c:v>0.3819599109131403</c:v>
                </c:pt>
                <c:pt idx="1">
                  <c:v>0.40979955456570155</c:v>
                </c:pt>
                <c:pt idx="2">
                  <c:v>0.20824053452115812</c:v>
                </c:pt>
              </c:numCache>
            </c:numRef>
          </c:val>
          <c:extLst>
            <c:ext xmlns:c16="http://schemas.microsoft.com/office/drawing/2014/chart" uri="{C3380CC4-5D6E-409C-BE32-E72D297353CC}">
              <c16:uniqueId val="{00000000-BE10-489A-8DBB-A4B82015C630}"/>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[rice_price_cleaned_dataset.xlsx]pivotable!PivotTable3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pivotable!$B$12</c:f>
              <c:strCache>
                <c:ptCount val="1"/>
                <c:pt idx="0">
                  <c:v>Total</c:v>
                </c:pt>
              </c:strCache>
            </c:strRef>
          </c:tx>
          <c:spPr>
            <a:solidFill>
              <a:schemeClr val="accent1"/>
            </a:solidFill>
            <a:ln>
              <a:noFill/>
            </a:ln>
            <a:effectLst/>
            <a:sp3d/>
          </c:spPr>
          <c:invertIfNegative val="0"/>
          <c:cat>
            <c:strRef>
              <c:f>pivotable!$A$13:$A$18</c:f>
              <c:strCache>
                <c:ptCount val="5"/>
                <c:pt idx="0">
                  <c:v>Basmati</c:v>
                </c:pt>
                <c:pt idx="1">
                  <c:v>Brown</c:v>
                </c:pt>
                <c:pt idx="2">
                  <c:v>Jasmine</c:v>
                </c:pt>
                <c:pt idx="3">
                  <c:v>White</c:v>
                </c:pt>
                <c:pt idx="4">
                  <c:v>unknow</c:v>
                </c:pt>
              </c:strCache>
            </c:strRef>
          </c:cat>
          <c:val>
            <c:numRef>
              <c:f>pivotable!$B$13:$B$18</c:f>
              <c:numCache>
                <c:formatCode>"$"#,##0.00</c:formatCode>
                <c:ptCount val="5"/>
                <c:pt idx="0">
                  <c:v>54.89664495114004</c:v>
                </c:pt>
                <c:pt idx="1">
                  <c:v>63.416064516129019</c:v>
                </c:pt>
                <c:pt idx="2">
                  <c:v>55.935238095238105</c:v>
                </c:pt>
                <c:pt idx="3">
                  <c:v>51.945439999999998</c:v>
                </c:pt>
                <c:pt idx="4">
                  <c:v>58.595060975609755</c:v>
                </c:pt>
              </c:numCache>
            </c:numRef>
          </c:val>
          <c:extLst>
            <c:ext xmlns:c16="http://schemas.microsoft.com/office/drawing/2014/chart" uri="{C3380CC4-5D6E-409C-BE32-E72D297353CC}">
              <c16:uniqueId val="{00000000-AD32-49AA-B672-E28DBF43E33E}"/>
            </c:ext>
          </c:extLst>
        </c:ser>
        <c:dLbls>
          <c:showLegendKey val="0"/>
          <c:showVal val="0"/>
          <c:showCatName val="0"/>
          <c:showSerName val="0"/>
          <c:showPercent val="0"/>
          <c:showBubbleSize val="0"/>
        </c:dLbls>
        <c:gapWidth val="150"/>
        <c:shape val="box"/>
        <c:axId val="544424064"/>
        <c:axId val="544421568"/>
        <c:axId val="0"/>
      </c:bar3DChart>
      <c:catAx>
        <c:axId val="5444240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4421568"/>
        <c:crosses val="autoZero"/>
        <c:auto val="1"/>
        <c:lblAlgn val="ctr"/>
        <c:lblOffset val="100"/>
        <c:noMultiLvlLbl val="0"/>
      </c:catAx>
      <c:valAx>
        <c:axId val="54442156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4424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[rice_price_cleaned_dataset.xlsx]pivotable!PivotTable4</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pivotable!$B$20</c:f>
              <c:strCache>
                <c:ptCount val="1"/>
                <c:pt idx="0">
                  <c:v>Total Demand_Tons</c:v>
                </c:pt>
              </c:strCache>
            </c:strRef>
          </c:tx>
          <c:spPr>
            <a:solidFill>
              <a:schemeClr val="accent1"/>
            </a:solidFill>
            <a:ln>
              <a:noFill/>
            </a:ln>
            <a:effectLst/>
            <a:sp3d/>
          </c:spPr>
          <c:invertIfNegative val="0"/>
          <c:cat>
            <c:strRef>
              <c:f>pivotable!$A$21:$A$26</c:f>
              <c:strCache>
                <c:ptCount val="5"/>
                <c:pt idx="0">
                  <c:v>East</c:v>
                </c:pt>
                <c:pt idx="1">
                  <c:v>North</c:v>
                </c:pt>
                <c:pt idx="2">
                  <c:v>South</c:v>
                </c:pt>
                <c:pt idx="3">
                  <c:v>West</c:v>
                </c:pt>
                <c:pt idx="4">
                  <c:v>unknow</c:v>
                </c:pt>
              </c:strCache>
            </c:strRef>
          </c:cat>
          <c:val>
            <c:numRef>
              <c:f>pivotable!$B$21:$B$26</c:f>
              <c:numCache>
                <c:formatCode>General</c:formatCode>
                <c:ptCount val="5"/>
                <c:pt idx="0">
                  <c:v>58636.560000000012</c:v>
                </c:pt>
                <c:pt idx="1">
                  <c:v>143827.17000000007</c:v>
                </c:pt>
                <c:pt idx="2">
                  <c:v>129926.59000000001</c:v>
                </c:pt>
                <c:pt idx="3">
                  <c:v>72759.17</c:v>
                </c:pt>
                <c:pt idx="4">
                  <c:v>69420.33</c:v>
                </c:pt>
              </c:numCache>
            </c:numRef>
          </c:val>
          <c:extLst>
            <c:ext xmlns:c16="http://schemas.microsoft.com/office/drawing/2014/chart" uri="{C3380CC4-5D6E-409C-BE32-E72D297353CC}">
              <c16:uniqueId val="{00000000-4A69-4709-BC6B-84F96740B60E}"/>
            </c:ext>
          </c:extLst>
        </c:ser>
        <c:ser>
          <c:idx val="1"/>
          <c:order val="1"/>
          <c:tx>
            <c:strRef>
              <c:f>pivotable!$C$20</c:f>
              <c:strCache>
                <c:ptCount val="1"/>
                <c:pt idx="0">
                  <c:v>Total Supply_Tons</c:v>
                </c:pt>
              </c:strCache>
            </c:strRef>
          </c:tx>
          <c:spPr>
            <a:solidFill>
              <a:schemeClr val="accent2"/>
            </a:solidFill>
            <a:ln>
              <a:noFill/>
            </a:ln>
            <a:effectLst/>
            <a:sp3d/>
          </c:spPr>
          <c:invertIfNegative val="0"/>
          <c:cat>
            <c:strRef>
              <c:f>pivotable!$A$21:$A$26</c:f>
              <c:strCache>
                <c:ptCount val="5"/>
                <c:pt idx="0">
                  <c:v>East</c:v>
                </c:pt>
                <c:pt idx="1">
                  <c:v>North</c:v>
                </c:pt>
                <c:pt idx="2">
                  <c:v>South</c:v>
                </c:pt>
                <c:pt idx="3">
                  <c:v>West</c:v>
                </c:pt>
                <c:pt idx="4">
                  <c:v>unknow</c:v>
                </c:pt>
              </c:strCache>
            </c:strRef>
          </c:cat>
          <c:val>
            <c:numRef>
              <c:f>pivotable!$C$21:$C$26</c:f>
              <c:numCache>
                <c:formatCode>General</c:formatCode>
                <c:ptCount val="5"/>
                <c:pt idx="0">
                  <c:v>54398.570000000022</c:v>
                </c:pt>
                <c:pt idx="1">
                  <c:v>129867.41999999995</c:v>
                </c:pt>
                <c:pt idx="2">
                  <c:v>115194.22000000002</c:v>
                </c:pt>
                <c:pt idx="3">
                  <c:v>70426.999999999971</c:v>
                </c:pt>
                <c:pt idx="4">
                  <c:v>63217.270000000019</c:v>
                </c:pt>
              </c:numCache>
            </c:numRef>
          </c:val>
          <c:extLst>
            <c:ext xmlns:c16="http://schemas.microsoft.com/office/drawing/2014/chart" uri="{C3380CC4-5D6E-409C-BE32-E72D297353CC}">
              <c16:uniqueId val="{00000001-4A69-4709-BC6B-84F96740B60E}"/>
            </c:ext>
          </c:extLst>
        </c:ser>
        <c:dLbls>
          <c:showLegendKey val="0"/>
          <c:showVal val="0"/>
          <c:showCatName val="0"/>
          <c:showSerName val="0"/>
          <c:showPercent val="0"/>
          <c:showBubbleSize val="0"/>
        </c:dLbls>
        <c:gapWidth val="150"/>
        <c:shape val="box"/>
        <c:axId val="544434048"/>
        <c:axId val="544435296"/>
        <c:axId val="0"/>
      </c:bar3DChart>
      <c:catAx>
        <c:axId val="5444340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4435296"/>
        <c:crosses val="autoZero"/>
        <c:auto val="1"/>
        <c:lblAlgn val="ctr"/>
        <c:lblOffset val="100"/>
        <c:noMultiLvlLbl val="0"/>
      </c:catAx>
      <c:valAx>
        <c:axId val="5444352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4434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[rice_price_cleaned_dataset.xlsx]pivotable!PivotTable6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pivotable!$B$30</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pivotable!$A$31:$A$36</c:f>
              <c:strCache>
                <c:ptCount val="5"/>
                <c:pt idx="0">
                  <c:v>East</c:v>
                </c:pt>
                <c:pt idx="1">
                  <c:v>North</c:v>
                </c:pt>
                <c:pt idx="2">
                  <c:v>South</c:v>
                </c:pt>
                <c:pt idx="3">
                  <c:v>West</c:v>
                </c:pt>
                <c:pt idx="4">
                  <c:v>unknow</c:v>
                </c:pt>
              </c:strCache>
            </c:strRef>
          </c:cat>
          <c:val>
            <c:numRef>
              <c:f>pivotable!$B$31:$B$36</c:f>
              <c:numCache>
                <c:formatCode>"$"#,##0.00</c:formatCode>
                <c:ptCount val="5"/>
                <c:pt idx="0">
                  <c:v>55.206551724137917</c:v>
                </c:pt>
                <c:pt idx="1">
                  <c:v>56.067380073800706</c:v>
                </c:pt>
                <c:pt idx="2">
                  <c:v>58.375338983050888</c:v>
                </c:pt>
                <c:pt idx="3">
                  <c:v>54.395177304964541</c:v>
                </c:pt>
                <c:pt idx="4">
                  <c:v>59.429029850746261</c:v>
                </c:pt>
              </c:numCache>
            </c:numRef>
          </c:val>
          <c:smooth val="0"/>
          <c:extLst>
            <c:ext xmlns:c16="http://schemas.microsoft.com/office/drawing/2014/chart" uri="{C3380CC4-5D6E-409C-BE32-E72D297353CC}">
              <c16:uniqueId val="{00000000-C0EE-48AA-B8CC-FDAF423B5A43}"/>
            </c:ext>
          </c:extLst>
        </c:ser>
        <c:dLbls>
          <c:showLegendKey val="0"/>
          <c:showVal val="0"/>
          <c:showCatName val="0"/>
          <c:showSerName val="0"/>
          <c:showPercent val="0"/>
          <c:showBubbleSize val="0"/>
        </c:dLbls>
        <c:marker val="1"/>
        <c:smooth val="0"/>
        <c:axId val="464750464"/>
        <c:axId val="464744640"/>
      </c:lineChart>
      <c:catAx>
        <c:axId val="464750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4744640"/>
        <c:crosses val="autoZero"/>
        <c:auto val="1"/>
        <c:lblAlgn val="ctr"/>
        <c:lblOffset val="100"/>
        <c:noMultiLvlLbl val="0"/>
      </c:catAx>
      <c:valAx>
        <c:axId val="46474464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4750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[rice_price_cleaned_dataset.xlsx]pivotable!PivotTable1</c:name>
    <c:fmtId val="2"/>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pivotable!$B$1</c:f>
              <c:strCache>
                <c:ptCount val="1"/>
                <c:pt idx="0">
                  <c:v>Total Demand_Tons</c:v>
                </c:pt>
              </c:strCache>
            </c:strRef>
          </c:tx>
          <c:spPr>
            <a:ln w="28575" cap="rnd">
              <a:solidFill>
                <a:schemeClr val="accent1"/>
              </a:solidFill>
              <a:round/>
            </a:ln>
            <a:effectLst/>
          </c:spPr>
          <c:marker>
            <c:symbol val="none"/>
          </c:marker>
          <c:cat>
            <c:strRef>
              <c:f>pivotable!$A$2:$A$5</c:f>
              <c:strCache>
                <c:ptCount val="3"/>
                <c:pt idx="0">
                  <c:v>2023</c:v>
                </c:pt>
                <c:pt idx="1">
                  <c:v>2024</c:v>
                </c:pt>
                <c:pt idx="2">
                  <c:v>2025</c:v>
                </c:pt>
              </c:strCache>
            </c:strRef>
          </c:cat>
          <c:val>
            <c:numRef>
              <c:f>pivotable!$B$2:$B$5</c:f>
              <c:numCache>
                <c:formatCode>General</c:formatCode>
                <c:ptCount val="3"/>
                <c:pt idx="0">
                  <c:v>172560.94999999981</c:v>
                </c:pt>
                <c:pt idx="1">
                  <c:v>173657.84</c:v>
                </c:pt>
                <c:pt idx="2">
                  <c:v>122394.70000000003</c:v>
                </c:pt>
              </c:numCache>
            </c:numRef>
          </c:val>
          <c:smooth val="0"/>
          <c:extLst>
            <c:ext xmlns:c16="http://schemas.microsoft.com/office/drawing/2014/chart" uri="{C3380CC4-5D6E-409C-BE32-E72D297353CC}">
              <c16:uniqueId val="{00000000-D380-46F9-AB38-EA170BCBA9AB}"/>
            </c:ext>
          </c:extLst>
        </c:ser>
        <c:ser>
          <c:idx val="1"/>
          <c:order val="1"/>
          <c:tx>
            <c:strRef>
              <c:f>pivotable!$C$1</c:f>
              <c:strCache>
                <c:ptCount val="1"/>
                <c:pt idx="0">
                  <c:v>Total Supply_Tons</c:v>
                </c:pt>
              </c:strCache>
            </c:strRef>
          </c:tx>
          <c:spPr>
            <a:ln w="28575" cap="rnd">
              <a:solidFill>
                <a:schemeClr val="accent2"/>
              </a:solidFill>
              <a:round/>
            </a:ln>
            <a:effectLst/>
          </c:spPr>
          <c:marker>
            <c:symbol val="none"/>
          </c:marker>
          <c:cat>
            <c:strRef>
              <c:f>pivotable!$A$2:$A$5</c:f>
              <c:strCache>
                <c:ptCount val="3"/>
                <c:pt idx="0">
                  <c:v>2023</c:v>
                </c:pt>
                <c:pt idx="1">
                  <c:v>2024</c:v>
                </c:pt>
                <c:pt idx="2">
                  <c:v>2025</c:v>
                </c:pt>
              </c:strCache>
            </c:strRef>
          </c:cat>
          <c:val>
            <c:numRef>
              <c:f>pivotable!$C$2:$C$5</c:f>
              <c:numCache>
                <c:formatCode>General</c:formatCode>
                <c:ptCount val="3"/>
                <c:pt idx="0">
                  <c:v>158052.30000000008</c:v>
                </c:pt>
                <c:pt idx="1">
                  <c:v>157456.53999999992</c:v>
                </c:pt>
                <c:pt idx="2">
                  <c:v>112552.96999999999</c:v>
                </c:pt>
              </c:numCache>
            </c:numRef>
          </c:val>
          <c:smooth val="0"/>
          <c:extLst>
            <c:ext xmlns:c16="http://schemas.microsoft.com/office/drawing/2014/chart" uri="{C3380CC4-5D6E-409C-BE32-E72D297353CC}">
              <c16:uniqueId val="{00000001-D380-46F9-AB38-EA170BCBA9AB}"/>
            </c:ext>
          </c:extLst>
        </c:ser>
        <c:dLbls>
          <c:showLegendKey val="0"/>
          <c:showVal val="0"/>
          <c:showCatName val="0"/>
          <c:showSerName val="0"/>
          <c:showPercent val="0"/>
          <c:showBubbleSize val="0"/>
        </c:dLbls>
        <c:smooth val="0"/>
        <c:axId val="464749216"/>
        <c:axId val="464743808"/>
      </c:lineChart>
      <c:catAx>
        <c:axId val="464749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4743808"/>
        <c:crosses val="autoZero"/>
        <c:auto val="1"/>
        <c:lblAlgn val="ctr"/>
        <c:lblOffset val="100"/>
        <c:noMultiLvlLbl val="0"/>
      </c:catAx>
      <c:valAx>
        <c:axId val="464743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4749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[rice_price_cleaned_dataset.xlsx]pivotable!PivotTable8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pivotable!$B$57</c:f>
              <c:strCache>
                <c:ptCount val="1"/>
                <c:pt idx="0">
                  <c:v>Total</c:v>
                </c:pt>
              </c:strCache>
            </c:strRef>
          </c:tx>
          <c:spPr>
            <a:solidFill>
              <a:schemeClr val="accent1"/>
            </a:solidFill>
            <a:ln>
              <a:noFill/>
            </a:ln>
            <a:effectLst/>
          </c:spPr>
          <c:invertIfNegative val="0"/>
          <c:cat>
            <c:strRef>
              <c:f>pivotable!$A$58:$A$63</c:f>
              <c:strCache>
                <c:ptCount val="5"/>
                <c:pt idx="0">
                  <c:v>Basmati</c:v>
                </c:pt>
                <c:pt idx="1">
                  <c:v>Brown</c:v>
                </c:pt>
                <c:pt idx="2">
                  <c:v>Jasmine</c:v>
                </c:pt>
                <c:pt idx="3">
                  <c:v>White</c:v>
                </c:pt>
                <c:pt idx="4">
                  <c:v>unknow</c:v>
                </c:pt>
              </c:strCache>
            </c:strRef>
          </c:cat>
          <c:val>
            <c:numRef>
              <c:f>pivotable!$B$58:$B$63</c:f>
              <c:numCache>
                <c:formatCode>General</c:formatCode>
                <c:ptCount val="5"/>
                <c:pt idx="0">
                  <c:v>158757.69000000003</c:v>
                </c:pt>
                <c:pt idx="1">
                  <c:v>85002.639999999956</c:v>
                </c:pt>
                <c:pt idx="2">
                  <c:v>78430.11</c:v>
                </c:pt>
                <c:pt idx="3">
                  <c:v>64579.489999999976</c:v>
                </c:pt>
                <c:pt idx="4">
                  <c:v>87799.890000000029</c:v>
                </c:pt>
              </c:numCache>
            </c:numRef>
          </c:val>
          <c:extLst>
            <c:ext xmlns:c16="http://schemas.microsoft.com/office/drawing/2014/chart" uri="{C3380CC4-5D6E-409C-BE32-E72D297353CC}">
              <c16:uniqueId val="{00000000-FC42-4423-A615-97970D978E3E}"/>
            </c:ext>
          </c:extLst>
        </c:ser>
        <c:dLbls>
          <c:showLegendKey val="0"/>
          <c:showVal val="0"/>
          <c:showCatName val="0"/>
          <c:showSerName val="0"/>
          <c:showPercent val="0"/>
          <c:showBubbleSize val="0"/>
        </c:dLbls>
        <c:gapWidth val="150"/>
        <c:overlap val="100"/>
        <c:axId val="691283424"/>
        <c:axId val="691296320"/>
      </c:barChart>
      <c:catAx>
        <c:axId val="691283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1296320"/>
        <c:crosses val="autoZero"/>
        <c:auto val="1"/>
        <c:lblAlgn val="ctr"/>
        <c:lblOffset val="100"/>
        <c:noMultiLvlLbl val="0"/>
      </c:catAx>
      <c:valAx>
        <c:axId val="6912963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1283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[rice_price_cleaned_dataset.xlsx]pivotable!PivotTable6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of price_kg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pivotable!$B$30</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pivotable!$A$31:$A$36</c:f>
              <c:strCache>
                <c:ptCount val="5"/>
                <c:pt idx="0">
                  <c:v>East</c:v>
                </c:pt>
                <c:pt idx="1">
                  <c:v>North</c:v>
                </c:pt>
                <c:pt idx="2">
                  <c:v>South</c:v>
                </c:pt>
                <c:pt idx="3">
                  <c:v>West</c:v>
                </c:pt>
                <c:pt idx="4">
                  <c:v>unknow</c:v>
                </c:pt>
              </c:strCache>
            </c:strRef>
          </c:cat>
          <c:val>
            <c:numRef>
              <c:f>pivotable!$B$31:$B$36</c:f>
              <c:numCache>
                <c:formatCode>"$"#,##0.00</c:formatCode>
                <c:ptCount val="5"/>
                <c:pt idx="0">
                  <c:v>55.206551724137917</c:v>
                </c:pt>
                <c:pt idx="1">
                  <c:v>56.067380073800706</c:v>
                </c:pt>
                <c:pt idx="2">
                  <c:v>58.375338983050888</c:v>
                </c:pt>
                <c:pt idx="3">
                  <c:v>54.395177304964541</c:v>
                </c:pt>
                <c:pt idx="4">
                  <c:v>59.429029850746261</c:v>
                </c:pt>
              </c:numCache>
            </c:numRef>
          </c:val>
          <c:smooth val="0"/>
          <c:extLst>
            <c:ext xmlns:c16="http://schemas.microsoft.com/office/drawing/2014/chart" uri="{C3380CC4-5D6E-409C-BE32-E72D297353CC}">
              <c16:uniqueId val="{00000000-F1B2-4998-ABFC-0DFABCCA73D8}"/>
            </c:ext>
          </c:extLst>
        </c:ser>
        <c:dLbls>
          <c:dLblPos val="t"/>
          <c:showLegendKey val="0"/>
          <c:showVal val="1"/>
          <c:showCatName val="0"/>
          <c:showSerName val="0"/>
          <c:showPercent val="0"/>
          <c:showBubbleSize val="0"/>
        </c:dLbls>
        <c:marker val="1"/>
        <c:smooth val="0"/>
        <c:axId val="464750464"/>
        <c:axId val="464744640"/>
      </c:lineChart>
      <c:catAx>
        <c:axId val="464750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4744640"/>
        <c:crosses val="autoZero"/>
        <c:auto val="1"/>
        <c:lblAlgn val="ctr"/>
        <c:lblOffset val="100"/>
        <c:noMultiLvlLbl val="0"/>
      </c:catAx>
      <c:valAx>
        <c:axId val="46474464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4750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[rice_price_cleaned_dataset.xlsx]pivotable!PivotTable3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Average of price_per_kg by rice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pivotable!$B$12</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pivotable!$A$13:$A$18</c:f>
              <c:strCache>
                <c:ptCount val="5"/>
                <c:pt idx="0">
                  <c:v>Basmati</c:v>
                </c:pt>
                <c:pt idx="1">
                  <c:v>Brown</c:v>
                </c:pt>
                <c:pt idx="2">
                  <c:v>Jasmine</c:v>
                </c:pt>
                <c:pt idx="3">
                  <c:v>White</c:v>
                </c:pt>
                <c:pt idx="4">
                  <c:v>unknow</c:v>
                </c:pt>
              </c:strCache>
            </c:strRef>
          </c:cat>
          <c:val>
            <c:numRef>
              <c:f>pivotable!$B$13:$B$18</c:f>
              <c:numCache>
                <c:formatCode>"$"#,##0.00</c:formatCode>
                <c:ptCount val="5"/>
                <c:pt idx="0">
                  <c:v>54.89664495114004</c:v>
                </c:pt>
                <c:pt idx="1">
                  <c:v>63.416064516129019</c:v>
                </c:pt>
                <c:pt idx="2">
                  <c:v>55.935238095238105</c:v>
                </c:pt>
                <c:pt idx="3">
                  <c:v>51.945439999999998</c:v>
                </c:pt>
                <c:pt idx="4">
                  <c:v>58.595060975609755</c:v>
                </c:pt>
              </c:numCache>
            </c:numRef>
          </c:val>
          <c:extLst>
            <c:ext xmlns:c16="http://schemas.microsoft.com/office/drawing/2014/chart" uri="{C3380CC4-5D6E-409C-BE32-E72D297353CC}">
              <c16:uniqueId val="{00000000-E3B6-42CB-91D1-95587433787B}"/>
            </c:ext>
          </c:extLst>
        </c:ser>
        <c:dLbls>
          <c:showLegendKey val="0"/>
          <c:showVal val="1"/>
          <c:showCatName val="0"/>
          <c:showSerName val="0"/>
          <c:showPercent val="0"/>
          <c:showBubbleSize val="0"/>
        </c:dLbls>
        <c:gapWidth val="150"/>
        <c:shape val="box"/>
        <c:axId val="544424064"/>
        <c:axId val="544421568"/>
        <c:axId val="0"/>
      </c:bar3DChart>
      <c:catAx>
        <c:axId val="5444240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4421568"/>
        <c:crosses val="autoZero"/>
        <c:auto val="1"/>
        <c:lblAlgn val="ctr"/>
        <c:lblOffset val="100"/>
        <c:noMultiLvlLbl val="0"/>
      </c:catAx>
      <c:valAx>
        <c:axId val="54442156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4424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[rice_price_cleaned_dataset.xlsx]pivotable!PivotTable2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shipment</a:t>
            </a:r>
            <a:r>
              <a:rPr lang="en-US" baseline="0"/>
              <a:t> percentage by import and Export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pivotable!$B$7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958-44B5-8BF7-78065B22F0B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958-44B5-8BF7-78065B22F0B6}"/>
              </c:ext>
            </c:extLst>
          </c:dPt>
          <c:dPt>
            <c:idx val="2"/>
            <c:bubble3D val="0"/>
            <c:spPr>
              <a:solidFill>
                <a:schemeClr val="accent3"/>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pivotable!$A$8:$A$11</c:f>
              <c:strCache>
                <c:ptCount val="3"/>
                <c:pt idx="0">
                  <c:v>Export</c:v>
                </c:pt>
                <c:pt idx="1">
                  <c:v>Import</c:v>
                </c:pt>
                <c:pt idx="2">
                  <c:v>unknow</c:v>
                </c:pt>
              </c:strCache>
            </c:strRef>
          </c:cat>
          <c:val>
            <c:numRef>
              <c:f>pivotable!$B$8:$B$11</c:f>
              <c:numCache>
                <c:formatCode>0.00%</c:formatCode>
                <c:ptCount val="3"/>
                <c:pt idx="0">
                  <c:v>0.3819599109131403</c:v>
                </c:pt>
                <c:pt idx="1">
                  <c:v>0.40979955456570155</c:v>
                </c:pt>
                <c:pt idx="2">
                  <c:v>0.20824053452115812</c:v>
                </c:pt>
              </c:numCache>
            </c:numRef>
          </c:val>
          <c:extLst>
            <c:ext xmlns:c16="http://schemas.microsoft.com/office/drawing/2014/chart" uri="{C3380CC4-5D6E-409C-BE32-E72D297353CC}">
              <c16:uniqueId val="{00000004-F958-44B5-8BF7-78065B22F0B6}"/>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[rice_price_cleaned_dataset.xlsx]pivotable!PivotTable4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Demands</a:t>
            </a:r>
            <a:r>
              <a:rPr lang="en-US" baseline="0"/>
              <a:t> and Supply Comaparison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pivotable!$B$20</c:f>
              <c:strCache>
                <c:ptCount val="1"/>
                <c:pt idx="0">
                  <c:v>Total Demand_Tons</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pivotable!$A$21:$A$26</c:f>
              <c:strCache>
                <c:ptCount val="5"/>
                <c:pt idx="0">
                  <c:v>East</c:v>
                </c:pt>
                <c:pt idx="1">
                  <c:v>North</c:v>
                </c:pt>
                <c:pt idx="2">
                  <c:v>South</c:v>
                </c:pt>
                <c:pt idx="3">
                  <c:v>West</c:v>
                </c:pt>
                <c:pt idx="4">
                  <c:v>unknow</c:v>
                </c:pt>
              </c:strCache>
            </c:strRef>
          </c:cat>
          <c:val>
            <c:numRef>
              <c:f>pivotable!$B$21:$B$26</c:f>
              <c:numCache>
                <c:formatCode>General</c:formatCode>
                <c:ptCount val="5"/>
                <c:pt idx="0">
                  <c:v>58636.560000000012</c:v>
                </c:pt>
                <c:pt idx="1">
                  <c:v>143827.17000000007</c:v>
                </c:pt>
                <c:pt idx="2">
                  <c:v>129926.59000000001</c:v>
                </c:pt>
                <c:pt idx="3">
                  <c:v>72759.17</c:v>
                </c:pt>
                <c:pt idx="4">
                  <c:v>69420.33</c:v>
                </c:pt>
              </c:numCache>
            </c:numRef>
          </c:val>
          <c:extLst>
            <c:ext xmlns:c16="http://schemas.microsoft.com/office/drawing/2014/chart" uri="{C3380CC4-5D6E-409C-BE32-E72D297353CC}">
              <c16:uniqueId val="{00000000-A0F3-40AF-A5FA-E08BFB2408E0}"/>
            </c:ext>
          </c:extLst>
        </c:ser>
        <c:ser>
          <c:idx val="1"/>
          <c:order val="1"/>
          <c:tx>
            <c:strRef>
              <c:f>pivotable!$C$20</c:f>
              <c:strCache>
                <c:ptCount val="1"/>
                <c:pt idx="0">
                  <c:v>Total Supply_Tons</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pivotable!$A$21:$A$26</c:f>
              <c:strCache>
                <c:ptCount val="5"/>
                <c:pt idx="0">
                  <c:v>East</c:v>
                </c:pt>
                <c:pt idx="1">
                  <c:v>North</c:v>
                </c:pt>
                <c:pt idx="2">
                  <c:v>South</c:v>
                </c:pt>
                <c:pt idx="3">
                  <c:v>West</c:v>
                </c:pt>
                <c:pt idx="4">
                  <c:v>unknow</c:v>
                </c:pt>
              </c:strCache>
            </c:strRef>
          </c:cat>
          <c:val>
            <c:numRef>
              <c:f>pivotable!$C$21:$C$26</c:f>
              <c:numCache>
                <c:formatCode>General</c:formatCode>
                <c:ptCount val="5"/>
                <c:pt idx="0">
                  <c:v>54398.570000000022</c:v>
                </c:pt>
                <c:pt idx="1">
                  <c:v>129867.41999999995</c:v>
                </c:pt>
                <c:pt idx="2">
                  <c:v>115194.22000000002</c:v>
                </c:pt>
                <c:pt idx="3">
                  <c:v>70426.999999999971</c:v>
                </c:pt>
                <c:pt idx="4">
                  <c:v>63217.270000000019</c:v>
                </c:pt>
              </c:numCache>
            </c:numRef>
          </c:val>
          <c:extLst>
            <c:ext xmlns:c16="http://schemas.microsoft.com/office/drawing/2014/chart" uri="{C3380CC4-5D6E-409C-BE32-E72D297353CC}">
              <c16:uniqueId val="{00000001-A0F3-40AF-A5FA-E08BFB2408E0}"/>
            </c:ext>
          </c:extLst>
        </c:ser>
        <c:dLbls>
          <c:showLegendKey val="0"/>
          <c:showVal val="1"/>
          <c:showCatName val="0"/>
          <c:showSerName val="0"/>
          <c:showPercent val="0"/>
          <c:showBubbleSize val="0"/>
        </c:dLbls>
        <c:gapWidth val="150"/>
        <c:shape val="box"/>
        <c:axId val="544434048"/>
        <c:axId val="544435296"/>
        <c:axId val="0"/>
      </c:bar3DChart>
      <c:catAx>
        <c:axId val="5444340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iRegion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4435296"/>
        <c:crosses val="autoZero"/>
        <c:auto val="1"/>
        <c:lblAlgn val="ctr"/>
        <c:lblOffset val="100"/>
        <c:noMultiLvlLbl val="0"/>
      </c:catAx>
      <c:valAx>
        <c:axId val="5444352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Quantity</a:t>
                </a:r>
                <a:r>
                  <a:rPr lang="en-US" baseline="0"/>
                  <a:t> in tons</a:t>
                </a:r>
                <a:r>
                  <a:rPr lang="en-US"/>
                  <a:t>le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4434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[rice_price_cleaned_dataset.xlsx]pivotable!PivotTable1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supply</a:t>
            </a:r>
            <a:r>
              <a:rPr lang="en-US" baseline="0"/>
              <a:t> and demand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pivotable!$B$1</c:f>
              <c:strCache>
                <c:ptCount val="1"/>
                <c:pt idx="0">
                  <c:v>Total Demand_Tons</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pivotable!$A$2:$A$5</c:f>
              <c:strCache>
                <c:ptCount val="3"/>
                <c:pt idx="0">
                  <c:v>2023</c:v>
                </c:pt>
                <c:pt idx="1">
                  <c:v>2024</c:v>
                </c:pt>
                <c:pt idx="2">
                  <c:v>2025</c:v>
                </c:pt>
              </c:strCache>
            </c:strRef>
          </c:cat>
          <c:val>
            <c:numRef>
              <c:f>pivotable!$B$2:$B$5</c:f>
              <c:numCache>
                <c:formatCode>General</c:formatCode>
                <c:ptCount val="3"/>
                <c:pt idx="0">
                  <c:v>172560.94999999981</c:v>
                </c:pt>
                <c:pt idx="1">
                  <c:v>173657.84</c:v>
                </c:pt>
                <c:pt idx="2">
                  <c:v>122394.70000000003</c:v>
                </c:pt>
              </c:numCache>
            </c:numRef>
          </c:val>
          <c:smooth val="0"/>
          <c:extLst>
            <c:ext xmlns:c16="http://schemas.microsoft.com/office/drawing/2014/chart" uri="{C3380CC4-5D6E-409C-BE32-E72D297353CC}">
              <c16:uniqueId val="{00000000-55E3-40A6-B5D3-26EFF9F988EF}"/>
            </c:ext>
          </c:extLst>
        </c:ser>
        <c:ser>
          <c:idx val="1"/>
          <c:order val="1"/>
          <c:tx>
            <c:strRef>
              <c:f>pivotable!$C$1</c:f>
              <c:strCache>
                <c:ptCount val="1"/>
                <c:pt idx="0">
                  <c:v>Total Supply_Tons</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pivotable!$A$2:$A$5</c:f>
              <c:strCache>
                <c:ptCount val="3"/>
                <c:pt idx="0">
                  <c:v>2023</c:v>
                </c:pt>
                <c:pt idx="1">
                  <c:v>2024</c:v>
                </c:pt>
                <c:pt idx="2">
                  <c:v>2025</c:v>
                </c:pt>
              </c:strCache>
            </c:strRef>
          </c:cat>
          <c:val>
            <c:numRef>
              <c:f>pivotable!$C$2:$C$5</c:f>
              <c:numCache>
                <c:formatCode>General</c:formatCode>
                <c:ptCount val="3"/>
                <c:pt idx="0">
                  <c:v>158052.30000000008</c:v>
                </c:pt>
                <c:pt idx="1">
                  <c:v>157456.53999999992</c:v>
                </c:pt>
                <c:pt idx="2">
                  <c:v>112552.96999999999</c:v>
                </c:pt>
              </c:numCache>
            </c:numRef>
          </c:val>
          <c:smooth val="0"/>
          <c:extLst>
            <c:ext xmlns:c16="http://schemas.microsoft.com/office/drawing/2014/chart" uri="{C3380CC4-5D6E-409C-BE32-E72D297353CC}">
              <c16:uniqueId val="{00000001-55E3-40A6-B5D3-26EFF9F988EF}"/>
            </c:ext>
          </c:extLst>
        </c:ser>
        <c:dLbls>
          <c:dLblPos val="t"/>
          <c:showLegendKey val="0"/>
          <c:showVal val="1"/>
          <c:showCatName val="0"/>
          <c:showSerName val="0"/>
          <c:showPercent val="0"/>
          <c:showBubbleSize val="0"/>
        </c:dLbls>
        <c:smooth val="0"/>
        <c:axId val="464749216"/>
        <c:axId val="464743808"/>
      </c:lineChart>
      <c:catAx>
        <c:axId val="4647492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4743808"/>
        <c:crosses val="autoZero"/>
        <c:auto val="1"/>
        <c:lblAlgn val="ctr"/>
        <c:lblOffset val="100"/>
        <c:noMultiLvlLbl val="0"/>
      </c:catAx>
      <c:valAx>
        <c:axId val="4647438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Quantity</a:t>
                </a:r>
                <a:r>
                  <a:rPr lang="en-US" baseline="0"/>
                  <a:t> in tons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4749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[rice_price_cleaned_dataset.xlsx]pivotable!PivotTable8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Rice</a:t>
            </a:r>
            <a:r>
              <a:rPr lang="en-US" baseline="0"/>
              <a:t> type by demand Quantity (tons)</a:t>
            </a:r>
            <a:r>
              <a:rPr lang="en-US"/>
              <a:t>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pivotable!$B$57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pivotable!$A$58:$A$63</c:f>
              <c:strCache>
                <c:ptCount val="5"/>
                <c:pt idx="0">
                  <c:v>Basmati</c:v>
                </c:pt>
                <c:pt idx="1">
                  <c:v>Brown</c:v>
                </c:pt>
                <c:pt idx="2">
                  <c:v>Jasmine</c:v>
                </c:pt>
                <c:pt idx="3">
                  <c:v>White</c:v>
                </c:pt>
                <c:pt idx="4">
                  <c:v>unknow</c:v>
                </c:pt>
              </c:strCache>
            </c:strRef>
          </c:cat>
          <c:val>
            <c:numRef>
              <c:f>pivotable!$B$58:$B$63</c:f>
              <c:numCache>
                <c:formatCode>General</c:formatCode>
                <c:ptCount val="5"/>
                <c:pt idx="0">
                  <c:v>158757.69000000003</c:v>
                </c:pt>
                <c:pt idx="1">
                  <c:v>85002.639999999956</c:v>
                </c:pt>
                <c:pt idx="2">
                  <c:v>78430.11</c:v>
                </c:pt>
                <c:pt idx="3">
                  <c:v>64579.489999999976</c:v>
                </c:pt>
                <c:pt idx="4">
                  <c:v>87799.890000000029</c:v>
                </c:pt>
              </c:numCache>
            </c:numRef>
          </c:val>
          <c:extLst>
            <c:ext xmlns:c16="http://schemas.microsoft.com/office/drawing/2014/chart" uri="{C3380CC4-5D6E-409C-BE32-E72D297353CC}">
              <c16:uniqueId val="{00000000-4F24-4106-9128-9D27E0132A01}"/>
            </c:ext>
          </c:extLst>
        </c:ser>
        <c:dLbls>
          <c:dLblPos val="ctr"/>
          <c:showLegendKey val="0"/>
          <c:showVal val="1"/>
          <c:showCatName val="0"/>
          <c:showSerName val="0"/>
          <c:showPercent val="0"/>
          <c:showBubbleSize val="0"/>
        </c:dLbls>
        <c:gapWidth val="150"/>
        <c:overlap val="100"/>
        <c:axId val="691283424"/>
        <c:axId val="691296320"/>
      </c:barChart>
      <c:catAx>
        <c:axId val="6912834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Rice</a:t>
                </a:r>
                <a:r>
                  <a:rPr lang="en-US" baseline="0"/>
                  <a:t> type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1296320"/>
        <c:crosses val="autoZero"/>
        <c:auto val="1"/>
        <c:lblAlgn val="ctr"/>
        <c:lblOffset val="100"/>
        <c:noMultiLvlLbl val="0"/>
      </c:catAx>
      <c:valAx>
        <c:axId val="6912963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Quantity</a:t>
                </a:r>
                <a:r>
                  <a:rPr lang="en-US" baseline="0"/>
                  <a:t> in tons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1283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3" Type="http://schemas.openxmlformats.org/officeDocument/2006/relationships/chart" Target="../charts/chart9.xml"/><Relationship Id="rId7" Type="http://schemas.openxmlformats.org/officeDocument/2006/relationships/chart" Target="../charts/chart11.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image" Target="../media/image2.svg"/><Relationship Id="rId5" Type="http://schemas.openxmlformats.org/officeDocument/2006/relationships/image" Target="../media/image1.png"/><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10</xdr:col>
      <xdr:colOff>409575</xdr:colOff>
      <xdr:row>0</xdr:row>
      <xdr:rowOff>138112</xdr:rowOff>
    </xdr:from>
    <xdr:to>
      <xdr:col>18</xdr:col>
      <xdr:colOff>104775</xdr:colOff>
      <xdr:row>15</xdr:row>
      <xdr:rowOff>23812</xdr:rowOff>
    </xdr:to>
    <xdr:graphicFrame macro="">
      <xdr:nvGraphicFramePr>
        <xdr:cNvPr id="3" name="Chart 2">
          <a:extLst>
            <a:ext uri="{FF2B5EF4-FFF2-40B4-BE49-F238E27FC236}">
              <a16:creationId xmlns:a16="http://schemas.microsoft.com/office/drawing/2014/main" id="{2DE652C8-47C2-4525-91A5-AA4F25FF50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409575</xdr:colOff>
      <xdr:row>15</xdr:row>
      <xdr:rowOff>176212</xdr:rowOff>
    </xdr:from>
    <xdr:to>
      <xdr:col>11</xdr:col>
      <xdr:colOff>104775</xdr:colOff>
      <xdr:row>30</xdr:row>
      <xdr:rowOff>61912</xdr:rowOff>
    </xdr:to>
    <xdr:graphicFrame macro="">
      <xdr:nvGraphicFramePr>
        <xdr:cNvPr id="4" name="Chart 3">
          <a:extLst>
            <a:ext uri="{FF2B5EF4-FFF2-40B4-BE49-F238E27FC236}">
              <a16:creationId xmlns:a16="http://schemas.microsoft.com/office/drawing/2014/main" id="{2C8D0BB5-F4AC-47AF-A570-3774DF5E80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314325</xdr:colOff>
      <xdr:row>15</xdr:row>
      <xdr:rowOff>138112</xdr:rowOff>
    </xdr:from>
    <xdr:to>
      <xdr:col>19</xdr:col>
      <xdr:colOff>9525</xdr:colOff>
      <xdr:row>30</xdr:row>
      <xdr:rowOff>23812</xdr:rowOff>
    </xdr:to>
    <xdr:graphicFrame macro="">
      <xdr:nvGraphicFramePr>
        <xdr:cNvPr id="5" name="Chart 4">
          <a:extLst>
            <a:ext uri="{FF2B5EF4-FFF2-40B4-BE49-F238E27FC236}">
              <a16:creationId xmlns:a16="http://schemas.microsoft.com/office/drawing/2014/main" id="{87961C18-B3FD-4C8A-9F01-3690EDDE3C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161925</xdr:colOff>
      <xdr:row>37</xdr:row>
      <xdr:rowOff>61912</xdr:rowOff>
    </xdr:from>
    <xdr:to>
      <xdr:col>5</xdr:col>
      <xdr:colOff>371475</xdr:colOff>
      <xdr:row>51</xdr:row>
      <xdr:rowOff>138112</xdr:rowOff>
    </xdr:to>
    <xdr:graphicFrame macro="">
      <xdr:nvGraphicFramePr>
        <xdr:cNvPr id="6" name="Chart 5">
          <a:extLst>
            <a:ext uri="{FF2B5EF4-FFF2-40B4-BE49-F238E27FC236}">
              <a16:creationId xmlns:a16="http://schemas.microsoft.com/office/drawing/2014/main" id="{9BBDD814-10F0-4D44-B978-0AFF4260AF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xdr:col>
      <xdr:colOff>1171575</xdr:colOff>
      <xdr:row>25</xdr:row>
      <xdr:rowOff>0</xdr:rowOff>
    </xdr:from>
    <xdr:to>
      <xdr:col>4</xdr:col>
      <xdr:colOff>352425</xdr:colOff>
      <xdr:row>38</xdr:row>
      <xdr:rowOff>47625</xdr:rowOff>
    </xdr:to>
    <mc:AlternateContent xmlns:mc="http://schemas.openxmlformats.org/markup-compatibility/2006">
      <mc:Choice xmlns:a14="http://schemas.microsoft.com/office/drawing/2010/main" Requires="a14">
        <xdr:graphicFrame macro="">
          <xdr:nvGraphicFramePr>
            <xdr:cNvPr id="8" name="Rice_Type">
              <a:extLst>
                <a:ext uri="{FF2B5EF4-FFF2-40B4-BE49-F238E27FC236}">
                  <a16:creationId xmlns:a16="http://schemas.microsoft.com/office/drawing/2014/main" id="{BC78F031-7AE4-4C0C-A206-BE26F5074EAB}"/>
                </a:ext>
              </a:extLst>
            </xdr:cNvPr>
            <xdr:cNvGraphicFramePr/>
          </xdr:nvGraphicFramePr>
          <xdr:xfrm>
            <a:off x="0" y="0"/>
            <a:ext cx="0" cy="0"/>
          </xdr:xfrm>
          <a:graphic>
            <a:graphicData uri="http://schemas.microsoft.com/office/drawing/2010/slicer">
              <sle:slicer xmlns:sle="http://schemas.microsoft.com/office/drawing/2010/slicer" name="Rice_Type"/>
            </a:graphicData>
          </a:graphic>
        </xdr:graphicFrame>
      </mc:Choice>
      <mc:Fallback>
        <xdr:sp macro="" textlink="">
          <xdr:nvSpPr>
            <xdr:cNvPr id="0" name=""/>
            <xdr:cNvSpPr>
              <a:spLocks noTextEdit="1"/>
            </xdr:cNvSpPr>
          </xdr:nvSpPr>
          <xdr:spPr>
            <a:xfrm>
              <a:off x="3390900" y="47625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542925</xdr:colOff>
      <xdr:row>25</xdr:row>
      <xdr:rowOff>0</xdr:rowOff>
    </xdr:from>
    <xdr:to>
      <xdr:col>5</xdr:col>
      <xdr:colOff>95250</xdr:colOff>
      <xdr:row>38</xdr:row>
      <xdr:rowOff>47625</xdr:rowOff>
    </xdr:to>
    <mc:AlternateContent xmlns:mc="http://schemas.openxmlformats.org/markup-compatibility/2006">
      <mc:Choice xmlns:a14="http://schemas.microsoft.com/office/drawing/2010/main" Requires="a14">
        <xdr:graphicFrame macro="">
          <xdr:nvGraphicFramePr>
            <xdr:cNvPr id="9" name="Import_Export">
              <a:extLst>
                <a:ext uri="{FF2B5EF4-FFF2-40B4-BE49-F238E27FC236}">
                  <a16:creationId xmlns:a16="http://schemas.microsoft.com/office/drawing/2014/main" id="{4E60D6EB-C37B-4584-90DF-8C12269018BF}"/>
                </a:ext>
              </a:extLst>
            </xdr:cNvPr>
            <xdr:cNvGraphicFramePr/>
          </xdr:nvGraphicFramePr>
          <xdr:xfrm>
            <a:off x="0" y="0"/>
            <a:ext cx="0" cy="0"/>
          </xdr:xfrm>
          <a:graphic>
            <a:graphicData uri="http://schemas.microsoft.com/office/drawing/2010/slicer">
              <sle:slicer xmlns:sle="http://schemas.microsoft.com/office/drawing/2010/slicer" name="Import_Export"/>
            </a:graphicData>
          </a:graphic>
        </xdr:graphicFrame>
      </mc:Choice>
      <mc:Fallback>
        <xdr:sp macro="" textlink="">
          <xdr:nvSpPr>
            <xdr:cNvPr id="0" name=""/>
            <xdr:cNvSpPr>
              <a:spLocks noTextEdit="1"/>
            </xdr:cNvSpPr>
          </xdr:nvSpPr>
          <xdr:spPr>
            <a:xfrm>
              <a:off x="3933825" y="47625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571500</xdr:colOff>
      <xdr:row>31</xdr:row>
      <xdr:rowOff>38100</xdr:rowOff>
    </xdr:from>
    <xdr:to>
      <xdr:col>14</xdr:col>
      <xdr:colOff>247650</xdr:colOff>
      <xdr:row>38</xdr:row>
      <xdr:rowOff>76200</xdr:rowOff>
    </xdr:to>
    <mc:AlternateContent xmlns:mc="http://schemas.openxmlformats.org/markup-compatibility/2006">
      <mc:Choice xmlns:tsle="http://schemas.microsoft.com/office/drawing/2012/timeslicer" Requires="tsle">
        <xdr:graphicFrame macro="">
          <xdr:nvGraphicFramePr>
            <xdr:cNvPr id="11" name="Date">
              <a:extLst>
                <a:ext uri="{FF2B5EF4-FFF2-40B4-BE49-F238E27FC236}">
                  <a16:creationId xmlns:a16="http://schemas.microsoft.com/office/drawing/2014/main" id="{5098880E-DD70-4A6E-B6FE-E9231F628B82}"/>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8448675" y="5943600"/>
              <a:ext cx="333375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xdr:col>
      <xdr:colOff>447675</xdr:colOff>
      <xdr:row>22</xdr:row>
      <xdr:rowOff>104775</xdr:rowOff>
    </xdr:from>
    <xdr:to>
      <xdr:col>5</xdr:col>
      <xdr:colOff>352425</xdr:colOff>
      <xdr:row>29</xdr:row>
      <xdr:rowOff>142875</xdr:rowOff>
    </xdr:to>
    <mc:AlternateContent xmlns:mc="http://schemas.openxmlformats.org/markup-compatibility/2006">
      <mc:Choice xmlns:tsle="http://schemas.microsoft.com/office/drawing/2012/timeslicer" Requires="tsle">
        <xdr:graphicFrame macro="">
          <xdr:nvGraphicFramePr>
            <xdr:cNvPr id="12" name="Date 1">
              <a:extLst>
                <a:ext uri="{FF2B5EF4-FFF2-40B4-BE49-F238E27FC236}">
                  <a16:creationId xmlns:a16="http://schemas.microsoft.com/office/drawing/2014/main" id="{A51DDF75-45F7-4E7D-BFAE-0E2C2B2ADA57}"/>
                </a:ext>
              </a:extLst>
            </xdr:cNvPr>
            <xdr:cNvGraphicFramePr/>
          </xdr:nvGraphicFramePr>
          <xdr:xfrm>
            <a:off x="0" y="0"/>
            <a:ext cx="0" cy="0"/>
          </xdr:xfrm>
          <a:graphic>
            <a:graphicData uri="http://schemas.microsoft.com/office/drawing/2012/timeslicer">
              <tsle:timeslicer xmlns:tsle="http://schemas.microsoft.com/office/drawing/2012/timeslicer" name="Date 1"/>
            </a:graphicData>
          </a:graphic>
        </xdr:graphicFrame>
      </mc:Choice>
      <mc:Fallback>
        <xdr:sp macro="" textlink="">
          <xdr:nvSpPr>
            <xdr:cNvPr id="0" name=""/>
            <xdr:cNvSpPr>
              <a:spLocks noTextEdit="1"/>
            </xdr:cNvSpPr>
          </xdr:nvSpPr>
          <xdr:spPr>
            <a:xfrm>
              <a:off x="2686050" y="4295775"/>
              <a:ext cx="333375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6</xdr:col>
      <xdr:colOff>638175</xdr:colOff>
      <xdr:row>38</xdr:row>
      <xdr:rowOff>76200</xdr:rowOff>
    </xdr:from>
    <xdr:to>
      <xdr:col>12</xdr:col>
      <xdr:colOff>123825</xdr:colOff>
      <xdr:row>45</xdr:row>
      <xdr:rowOff>114300</xdr:rowOff>
    </xdr:to>
    <mc:AlternateContent xmlns:mc="http://schemas.openxmlformats.org/markup-compatibility/2006">
      <mc:Choice xmlns:tsle="http://schemas.microsoft.com/office/drawing/2012/timeslicer" Requires="tsle">
        <xdr:graphicFrame macro="">
          <xdr:nvGraphicFramePr>
            <xdr:cNvPr id="13" name="Date 2">
              <a:extLst>
                <a:ext uri="{FF2B5EF4-FFF2-40B4-BE49-F238E27FC236}">
                  <a16:creationId xmlns:a16="http://schemas.microsoft.com/office/drawing/2014/main" id="{C0936A75-D72C-4C3D-87EF-C97FCB17AFD2}"/>
                </a:ext>
              </a:extLst>
            </xdr:cNvPr>
            <xdr:cNvGraphicFramePr/>
          </xdr:nvGraphicFramePr>
          <xdr:xfrm>
            <a:off x="0" y="0"/>
            <a:ext cx="0" cy="0"/>
          </xdr:xfrm>
          <a:graphic>
            <a:graphicData uri="http://schemas.microsoft.com/office/drawing/2012/timeslicer">
              <tsle:timeslicer xmlns:tsle="http://schemas.microsoft.com/office/drawing/2012/timeslicer" name="Date 2"/>
            </a:graphicData>
          </a:graphic>
        </xdr:graphicFrame>
      </mc:Choice>
      <mc:Fallback>
        <xdr:sp macro="" textlink="">
          <xdr:nvSpPr>
            <xdr:cNvPr id="0" name=""/>
            <xdr:cNvSpPr>
              <a:spLocks noTextEdit="1"/>
            </xdr:cNvSpPr>
          </xdr:nvSpPr>
          <xdr:spPr>
            <a:xfrm>
              <a:off x="7105650" y="7315200"/>
              <a:ext cx="333375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6</xdr:col>
      <xdr:colOff>0</xdr:colOff>
      <xdr:row>34</xdr:row>
      <xdr:rowOff>0</xdr:rowOff>
    </xdr:from>
    <xdr:to>
      <xdr:col>8</xdr:col>
      <xdr:colOff>180975</xdr:colOff>
      <xdr:row>43</xdr:row>
      <xdr:rowOff>38100</xdr:rowOff>
    </xdr:to>
    <mc:AlternateContent xmlns:mc="http://schemas.openxmlformats.org/markup-compatibility/2006">
      <mc:Choice xmlns:a14="http://schemas.microsoft.com/office/drawing/2010/main" Requires="a14">
        <xdr:graphicFrame macro="">
          <xdr:nvGraphicFramePr>
            <xdr:cNvPr id="14" name="Region 2">
              <a:extLst>
                <a:ext uri="{FF2B5EF4-FFF2-40B4-BE49-F238E27FC236}">
                  <a16:creationId xmlns:a16="http://schemas.microsoft.com/office/drawing/2014/main" id="{B1BF81B7-5CFE-4E5D-8AA6-0F95A4C910FB}"/>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dr:sp macro="" textlink="">
          <xdr:nvSpPr>
            <xdr:cNvPr id="0" name=""/>
            <xdr:cNvSpPr>
              <a:spLocks noTextEdit="1"/>
            </xdr:cNvSpPr>
          </xdr:nvSpPr>
          <xdr:spPr>
            <a:xfrm>
              <a:off x="6467475" y="6477000"/>
              <a:ext cx="1590675" cy="1752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1171575</xdr:colOff>
      <xdr:row>22</xdr:row>
      <xdr:rowOff>0</xdr:rowOff>
    </xdr:from>
    <xdr:to>
      <xdr:col>4</xdr:col>
      <xdr:colOff>352425</xdr:colOff>
      <xdr:row>35</xdr:row>
      <xdr:rowOff>47625</xdr:rowOff>
    </xdr:to>
    <mc:AlternateContent xmlns:mc="http://schemas.openxmlformats.org/markup-compatibility/2006">
      <mc:Choice xmlns:a14="http://schemas.microsoft.com/office/drawing/2010/main" Requires="a14">
        <xdr:graphicFrame macro="">
          <xdr:nvGraphicFramePr>
            <xdr:cNvPr id="15" name="Region">
              <a:extLst>
                <a:ext uri="{FF2B5EF4-FFF2-40B4-BE49-F238E27FC236}">
                  <a16:creationId xmlns:a16="http://schemas.microsoft.com/office/drawing/2014/main" id="{76C76C15-B424-4A6F-87CD-A063B49B9FE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390900" y="41910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295275</xdr:colOff>
      <xdr:row>0</xdr:row>
      <xdr:rowOff>66675</xdr:rowOff>
    </xdr:from>
    <xdr:to>
      <xdr:col>10</xdr:col>
      <xdr:colOff>600075</xdr:colOff>
      <xdr:row>14</xdr:row>
      <xdr:rowOff>142875</xdr:rowOff>
    </xdr:to>
    <xdr:graphicFrame macro="">
      <xdr:nvGraphicFramePr>
        <xdr:cNvPr id="16" name="Chart 15">
          <a:extLst>
            <a:ext uri="{FF2B5EF4-FFF2-40B4-BE49-F238E27FC236}">
              <a16:creationId xmlns:a16="http://schemas.microsoft.com/office/drawing/2014/main" id="{4D2CC7AE-4040-4D82-97DD-E00A211F93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85725</xdr:colOff>
      <xdr:row>50</xdr:row>
      <xdr:rowOff>42862</xdr:rowOff>
    </xdr:from>
    <xdr:to>
      <xdr:col>6</xdr:col>
      <xdr:colOff>428625</xdr:colOff>
      <xdr:row>64</xdr:row>
      <xdr:rowOff>119062</xdr:rowOff>
    </xdr:to>
    <xdr:graphicFrame macro="">
      <xdr:nvGraphicFramePr>
        <xdr:cNvPr id="17" name="Chart 16">
          <a:extLst>
            <a:ext uri="{FF2B5EF4-FFF2-40B4-BE49-F238E27FC236}">
              <a16:creationId xmlns:a16="http://schemas.microsoft.com/office/drawing/2014/main" id="{D07AB0E5-A827-41C0-9C2D-AC0E644B38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19048</xdr:colOff>
      <xdr:row>0</xdr:row>
      <xdr:rowOff>19050</xdr:rowOff>
    </xdr:from>
    <xdr:to>
      <xdr:col>24</xdr:col>
      <xdr:colOff>176388</xdr:colOff>
      <xdr:row>55</xdr:row>
      <xdr:rowOff>17639</xdr:rowOff>
    </xdr:to>
    <xdr:sp macro="" textlink="">
      <xdr:nvSpPr>
        <xdr:cNvPr id="4" name="Rectangle 3">
          <a:extLst>
            <a:ext uri="{FF2B5EF4-FFF2-40B4-BE49-F238E27FC236}">
              <a16:creationId xmlns:a16="http://schemas.microsoft.com/office/drawing/2014/main" id="{1C436FC6-1B7A-4341-88B7-896F880ACF1C}"/>
            </a:ext>
          </a:extLst>
        </xdr:cNvPr>
        <xdr:cNvSpPr/>
      </xdr:nvSpPr>
      <xdr:spPr>
        <a:xfrm>
          <a:off x="19048" y="19050"/>
          <a:ext cx="14974007" cy="1067011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438150</xdr:colOff>
      <xdr:row>3</xdr:row>
      <xdr:rowOff>152399</xdr:rowOff>
    </xdr:from>
    <xdr:to>
      <xdr:col>24</xdr:col>
      <xdr:colOff>176389</xdr:colOff>
      <xdr:row>55</xdr:row>
      <xdr:rowOff>52915</xdr:rowOff>
    </xdr:to>
    <xdr:sp macro="" textlink="">
      <xdr:nvSpPr>
        <xdr:cNvPr id="5" name="Rectangle 4">
          <a:extLst>
            <a:ext uri="{FF2B5EF4-FFF2-40B4-BE49-F238E27FC236}">
              <a16:creationId xmlns:a16="http://schemas.microsoft.com/office/drawing/2014/main" id="{7620A66E-DF8B-458A-8425-57404B2474AF}"/>
            </a:ext>
          </a:extLst>
        </xdr:cNvPr>
        <xdr:cNvSpPr/>
      </xdr:nvSpPr>
      <xdr:spPr>
        <a:xfrm>
          <a:off x="1055511" y="734482"/>
          <a:ext cx="13937545" cy="9989961"/>
        </a:xfrm>
        <a:prstGeom prst="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375660</xdr:colOff>
      <xdr:row>10</xdr:row>
      <xdr:rowOff>144991</xdr:rowOff>
    </xdr:from>
    <xdr:to>
      <xdr:col>9</xdr:col>
      <xdr:colOff>462643</xdr:colOff>
      <xdr:row>15</xdr:row>
      <xdr:rowOff>11641</xdr:rowOff>
    </xdr:to>
    <xdr:sp macro="" textlink="">
      <xdr:nvSpPr>
        <xdr:cNvPr id="6" name="Rectangle: Rounded Corners 5">
          <a:extLst>
            <a:ext uri="{FF2B5EF4-FFF2-40B4-BE49-F238E27FC236}">
              <a16:creationId xmlns:a16="http://schemas.microsoft.com/office/drawing/2014/main" id="{89C0BAC9-CF91-4E3B-86F1-21B0C814247F}"/>
            </a:ext>
          </a:extLst>
        </xdr:cNvPr>
        <xdr:cNvSpPr/>
      </xdr:nvSpPr>
      <xdr:spPr>
        <a:xfrm>
          <a:off x="4049589" y="2049991"/>
          <a:ext cx="1923947" cy="819150"/>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363635</xdr:colOff>
      <xdr:row>10</xdr:row>
      <xdr:rowOff>141288</xdr:rowOff>
    </xdr:from>
    <xdr:to>
      <xdr:col>15</xdr:col>
      <xdr:colOff>505408</xdr:colOff>
      <xdr:row>14</xdr:row>
      <xdr:rowOff>174096</xdr:rowOff>
    </xdr:to>
    <xdr:sp macro="" textlink="">
      <xdr:nvSpPr>
        <xdr:cNvPr id="7" name="Rectangle: Rounded Corners 6">
          <a:extLst>
            <a:ext uri="{FF2B5EF4-FFF2-40B4-BE49-F238E27FC236}">
              <a16:creationId xmlns:a16="http://schemas.microsoft.com/office/drawing/2014/main" id="{3E0B38BB-D96F-4F1F-AA44-ECEC07BC12E2}"/>
            </a:ext>
          </a:extLst>
        </xdr:cNvPr>
        <xdr:cNvSpPr/>
      </xdr:nvSpPr>
      <xdr:spPr>
        <a:xfrm>
          <a:off x="7594859" y="2085166"/>
          <a:ext cx="1949580" cy="810359"/>
        </a:xfrm>
        <a:prstGeom prst="round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382588</xdr:colOff>
      <xdr:row>10</xdr:row>
      <xdr:rowOff>112713</xdr:rowOff>
    </xdr:from>
    <xdr:to>
      <xdr:col>20</xdr:col>
      <xdr:colOff>573088</xdr:colOff>
      <xdr:row>14</xdr:row>
      <xdr:rowOff>155046</xdr:rowOff>
    </xdr:to>
    <xdr:sp macro="" textlink="">
      <xdr:nvSpPr>
        <xdr:cNvPr id="8" name="Rectangle: Rounded Corners 7">
          <a:extLst>
            <a:ext uri="{FF2B5EF4-FFF2-40B4-BE49-F238E27FC236}">
              <a16:creationId xmlns:a16="http://schemas.microsoft.com/office/drawing/2014/main" id="{AE718429-6154-4FDB-BC2C-569DCF56A9A6}"/>
            </a:ext>
          </a:extLst>
        </xdr:cNvPr>
        <xdr:cNvSpPr/>
      </xdr:nvSpPr>
      <xdr:spPr>
        <a:xfrm>
          <a:off x="11336338" y="1964796"/>
          <a:ext cx="1407583" cy="783167"/>
        </a:xfrm>
        <a:prstGeom prst="round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504825</xdr:colOff>
      <xdr:row>4</xdr:row>
      <xdr:rowOff>28575</xdr:rowOff>
    </xdr:from>
    <xdr:to>
      <xdr:col>4</xdr:col>
      <xdr:colOff>428625</xdr:colOff>
      <xdr:row>55</xdr:row>
      <xdr:rowOff>52916</xdr:rowOff>
    </xdr:to>
    <xdr:sp macro="" textlink="">
      <xdr:nvSpPr>
        <xdr:cNvPr id="13" name="Rectangle: Rounded Corners 12">
          <a:extLst>
            <a:ext uri="{FF2B5EF4-FFF2-40B4-BE49-F238E27FC236}">
              <a16:creationId xmlns:a16="http://schemas.microsoft.com/office/drawing/2014/main" id="{57EBA7C1-3802-4FAC-8F79-CB898DFA5526}"/>
            </a:ext>
          </a:extLst>
        </xdr:cNvPr>
        <xdr:cNvSpPr/>
      </xdr:nvSpPr>
      <xdr:spPr>
        <a:xfrm>
          <a:off x="1122186" y="804686"/>
          <a:ext cx="1775883" cy="9919758"/>
        </a:xfrm>
        <a:prstGeom prst="round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581024</xdr:colOff>
      <xdr:row>4</xdr:row>
      <xdr:rowOff>38099</xdr:rowOff>
    </xdr:from>
    <xdr:to>
      <xdr:col>24</xdr:col>
      <xdr:colOff>141110</xdr:colOff>
      <xdr:row>9</xdr:row>
      <xdr:rowOff>180974</xdr:rowOff>
    </xdr:to>
    <xdr:sp macro="" textlink="">
      <xdr:nvSpPr>
        <xdr:cNvPr id="14" name="Rectangle: Rounded Corners 13">
          <a:extLst>
            <a:ext uri="{FF2B5EF4-FFF2-40B4-BE49-F238E27FC236}">
              <a16:creationId xmlns:a16="http://schemas.microsoft.com/office/drawing/2014/main" id="{3AC16396-A5A3-4514-A191-7731857E450D}"/>
            </a:ext>
          </a:extLst>
        </xdr:cNvPr>
        <xdr:cNvSpPr/>
      </xdr:nvSpPr>
      <xdr:spPr>
        <a:xfrm>
          <a:off x="3050468" y="814210"/>
          <a:ext cx="11907309" cy="1113014"/>
        </a:xfrm>
        <a:prstGeom prst="round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480484</xdr:colOff>
      <xdr:row>11</xdr:row>
      <xdr:rowOff>9526</xdr:rowOff>
    </xdr:from>
    <xdr:to>
      <xdr:col>9</xdr:col>
      <xdr:colOff>258536</xdr:colOff>
      <xdr:row>12</xdr:row>
      <xdr:rowOff>122464</xdr:rowOff>
    </xdr:to>
    <xdr:sp macro="" textlink="">
      <xdr:nvSpPr>
        <xdr:cNvPr id="15" name="TextBox 14">
          <a:extLst>
            <a:ext uri="{FF2B5EF4-FFF2-40B4-BE49-F238E27FC236}">
              <a16:creationId xmlns:a16="http://schemas.microsoft.com/office/drawing/2014/main" id="{BA8F95D4-B1F7-402F-8CFB-ACCC963FACFA}"/>
            </a:ext>
          </a:extLst>
        </xdr:cNvPr>
        <xdr:cNvSpPr txBox="1"/>
      </xdr:nvSpPr>
      <xdr:spPr>
        <a:xfrm>
          <a:off x="4154413" y="2105026"/>
          <a:ext cx="1615016" cy="30343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Total</a:t>
          </a:r>
          <a:r>
            <a:rPr lang="en-US" sz="1200" b="1" baseline="0"/>
            <a:t> demand_tons</a:t>
          </a:r>
          <a:endParaRPr lang="en-US" sz="1200" b="1"/>
        </a:p>
      </xdr:txBody>
    </xdr:sp>
    <xdr:clientData/>
  </xdr:twoCellAnchor>
  <xdr:twoCellAnchor>
    <xdr:from>
      <xdr:col>7</xdr:col>
      <xdr:colOff>77755</xdr:colOff>
      <xdr:row>12</xdr:row>
      <xdr:rowOff>160866</xdr:rowOff>
    </xdr:from>
    <xdr:to>
      <xdr:col>9</xdr:col>
      <xdr:colOff>81491</xdr:colOff>
      <xdr:row>14</xdr:row>
      <xdr:rowOff>116632</xdr:rowOff>
    </xdr:to>
    <xdr:sp macro="" textlink="pivotable!A68">
      <xdr:nvSpPr>
        <xdr:cNvPr id="16" name="TextBox 15">
          <a:extLst>
            <a:ext uri="{FF2B5EF4-FFF2-40B4-BE49-F238E27FC236}">
              <a16:creationId xmlns:a16="http://schemas.microsoft.com/office/drawing/2014/main" id="{2B3E61F5-247D-46FD-A9F1-AEEA651BB912}"/>
            </a:ext>
          </a:extLst>
        </xdr:cNvPr>
        <xdr:cNvSpPr txBox="1"/>
      </xdr:nvSpPr>
      <xdr:spPr>
        <a:xfrm>
          <a:off x="4295969" y="2493519"/>
          <a:ext cx="1208940" cy="34454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E045857-C27E-4E85-A653-DDE1F0DDA8C7}" type="TxLink">
            <a:rPr lang="en-US" sz="1600" b="0"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rPr>
            <a:t>474569.82</a:t>
          </a:fld>
          <a:endParaRPr lang="en-US" sz="16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12</xdr:col>
      <xdr:colOff>486306</xdr:colOff>
      <xdr:row>11</xdr:row>
      <xdr:rowOff>62972</xdr:rowOff>
    </xdr:from>
    <xdr:to>
      <xdr:col>15</xdr:col>
      <xdr:colOff>262282</xdr:colOff>
      <xdr:row>12</xdr:row>
      <xdr:rowOff>138044</xdr:rowOff>
    </xdr:to>
    <xdr:sp macro="" textlink="">
      <xdr:nvSpPr>
        <xdr:cNvPr id="17" name="TextBox 16">
          <a:extLst>
            <a:ext uri="{FF2B5EF4-FFF2-40B4-BE49-F238E27FC236}">
              <a16:creationId xmlns:a16="http://schemas.microsoft.com/office/drawing/2014/main" id="{0F7F66B1-55E7-4D3E-95CE-202DAFCB0AEC}"/>
            </a:ext>
          </a:extLst>
        </xdr:cNvPr>
        <xdr:cNvSpPr txBox="1"/>
      </xdr:nvSpPr>
      <xdr:spPr>
        <a:xfrm>
          <a:off x="7775002" y="2188842"/>
          <a:ext cx="1598150" cy="26833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Total supply_tons</a:t>
          </a:r>
        </a:p>
      </xdr:txBody>
    </xdr:sp>
    <xdr:clientData/>
  </xdr:twoCellAnchor>
  <xdr:twoCellAnchor>
    <xdr:from>
      <xdr:col>13</xdr:col>
      <xdr:colOff>116632</xdr:colOff>
      <xdr:row>13</xdr:row>
      <xdr:rowOff>32807</xdr:rowOff>
    </xdr:from>
    <xdr:to>
      <xdr:col>14</xdr:col>
      <xdr:colOff>565679</xdr:colOff>
      <xdr:row>14</xdr:row>
      <xdr:rowOff>155510</xdr:rowOff>
    </xdr:to>
    <xdr:sp macro="" textlink="pivotable!C68">
      <xdr:nvSpPr>
        <xdr:cNvPr id="18" name="TextBox 17">
          <a:extLst>
            <a:ext uri="{FF2B5EF4-FFF2-40B4-BE49-F238E27FC236}">
              <a16:creationId xmlns:a16="http://schemas.microsoft.com/office/drawing/2014/main" id="{D4BB8F99-8E11-4A7F-9AB8-7FFF18D4129D}"/>
            </a:ext>
          </a:extLst>
        </xdr:cNvPr>
        <xdr:cNvSpPr txBox="1"/>
      </xdr:nvSpPr>
      <xdr:spPr>
        <a:xfrm>
          <a:off x="7950459" y="2559848"/>
          <a:ext cx="1051649" cy="31709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0C25C13-DF1E-4743-899F-868F722871BE}" type="TxLink">
            <a:rPr lang="en-US" sz="1600" b="0"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rPr>
            <a:t>433104.48</a:t>
          </a:fld>
          <a:endParaRPr lang="en-US" sz="16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18</xdr:col>
      <xdr:colOff>543984</xdr:colOff>
      <xdr:row>11</xdr:row>
      <xdr:rowOff>11642</xdr:rowOff>
    </xdr:from>
    <xdr:to>
      <xdr:col>20</xdr:col>
      <xdr:colOff>477309</xdr:colOff>
      <xdr:row>12</xdr:row>
      <xdr:rowOff>59267</xdr:rowOff>
    </xdr:to>
    <xdr:sp macro="" textlink="">
      <xdr:nvSpPr>
        <xdr:cNvPr id="19" name="TextBox 18">
          <a:extLst>
            <a:ext uri="{FF2B5EF4-FFF2-40B4-BE49-F238E27FC236}">
              <a16:creationId xmlns:a16="http://schemas.microsoft.com/office/drawing/2014/main" id="{E9AD9801-82CD-40E8-8730-5E8402347294}"/>
            </a:ext>
          </a:extLst>
        </xdr:cNvPr>
        <xdr:cNvSpPr txBox="1"/>
      </xdr:nvSpPr>
      <xdr:spPr>
        <a:xfrm>
          <a:off x="11497734" y="2048934"/>
          <a:ext cx="1150408" cy="23283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Total</a:t>
          </a:r>
          <a:r>
            <a:rPr lang="en-US" sz="1200" b="1" baseline="0"/>
            <a:t> shipment</a:t>
          </a:r>
          <a:endParaRPr lang="en-US" sz="1200" b="1"/>
        </a:p>
      </xdr:txBody>
    </xdr:sp>
    <xdr:clientData/>
  </xdr:twoCellAnchor>
  <xdr:twoCellAnchor>
    <xdr:from>
      <xdr:col>19</xdr:col>
      <xdr:colOff>209550</xdr:colOff>
      <xdr:row>12</xdr:row>
      <xdr:rowOff>177799</xdr:rowOff>
    </xdr:from>
    <xdr:to>
      <xdr:col>20</xdr:col>
      <xdr:colOff>485776</xdr:colOff>
      <xdr:row>14</xdr:row>
      <xdr:rowOff>78316</xdr:rowOff>
    </xdr:to>
    <xdr:sp macro="" textlink="pivotable!D68">
      <xdr:nvSpPr>
        <xdr:cNvPr id="20" name="TextBox 19">
          <a:extLst>
            <a:ext uri="{FF2B5EF4-FFF2-40B4-BE49-F238E27FC236}">
              <a16:creationId xmlns:a16="http://schemas.microsoft.com/office/drawing/2014/main" id="{59640196-E34B-4035-85F8-BD5DE268E51D}"/>
            </a:ext>
          </a:extLst>
        </xdr:cNvPr>
        <xdr:cNvSpPr txBox="1"/>
      </xdr:nvSpPr>
      <xdr:spPr>
        <a:xfrm>
          <a:off x="11771842" y="2400299"/>
          <a:ext cx="884767" cy="27093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618A17F-3595-4B2A-9D8B-D5F37EAC2DFA}" type="TxLink">
            <a:rPr lang="en-US" sz="1600" b="0"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rPr>
            <a:t>898</a:t>
          </a:fld>
          <a:endParaRPr lang="en-US" sz="16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4</xdr:col>
      <xdr:colOff>462844</xdr:colOff>
      <xdr:row>15</xdr:row>
      <xdr:rowOff>40922</xdr:rowOff>
    </xdr:from>
    <xdr:to>
      <xdr:col>12</xdr:col>
      <xdr:colOff>282223</xdr:colOff>
      <xdr:row>26</xdr:row>
      <xdr:rowOff>158750</xdr:rowOff>
    </xdr:to>
    <xdr:graphicFrame macro="">
      <xdr:nvGraphicFramePr>
        <xdr:cNvPr id="23" name="Chart 22">
          <a:extLst>
            <a:ext uri="{FF2B5EF4-FFF2-40B4-BE49-F238E27FC236}">
              <a16:creationId xmlns:a16="http://schemas.microsoft.com/office/drawing/2014/main" id="{0D03E4F3-6BF2-4E60-BD7E-F4F9E9F447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466726</xdr:colOff>
      <xdr:row>28</xdr:row>
      <xdr:rowOff>28575</xdr:rowOff>
    </xdr:from>
    <xdr:to>
      <xdr:col>12</xdr:col>
      <xdr:colOff>390526</xdr:colOff>
      <xdr:row>40</xdr:row>
      <xdr:rowOff>28575</xdr:rowOff>
    </xdr:to>
    <xdr:graphicFrame macro="">
      <xdr:nvGraphicFramePr>
        <xdr:cNvPr id="24" name="Chart 23">
          <a:extLst>
            <a:ext uri="{FF2B5EF4-FFF2-40B4-BE49-F238E27FC236}">
              <a16:creationId xmlns:a16="http://schemas.microsoft.com/office/drawing/2014/main" id="{BC6814A9-6599-4196-9D57-7FBE00F655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141111</xdr:colOff>
      <xdr:row>15</xdr:row>
      <xdr:rowOff>105833</xdr:rowOff>
    </xdr:from>
    <xdr:to>
      <xdr:col>23</xdr:col>
      <xdr:colOff>564445</xdr:colOff>
      <xdr:row>27</xdr:row>
      <xdr:rowOff>105833</xdr:rowOff>
    </xdr:to>
    <xdr:graphicFrame macro="">
      <xdr:nvGraphicFramePr>
        <xdr:cNvPr id="25" name="Chart 24">
          <a:extLst>
            <a:ext uri="{FF2B5EF4-FFF2-40B4-BE49-F238E27FC236}">
              <a16:creationId xmlns:a16="http://schemas.microsoft.com/office/drawing/2014/main" id="{5ACE2DE5-CFC1-45BA-BCE3-667CA2D059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406753</xdr:colOff>
      <xdr:row>27</xdr:row>
      <xdr:rowOff>142952</xdr:rowOff>
    </xdr:from>
    <xdr:to>
      <xdr:col>24</xdr:col>
      <xdr:colOff>141111</xdr:colOff>
      <xdr:row>54</xdr:row>
      <xdr:rowOff>176389</xdr:rowOff>
    </xdr:to>
    <xdr:graphicFrame macro="">
      <xdr:nvGraphicFramePr>
        <xdr:cNvPr id="26" name="Chart 25">
          <a:extLst>
            <a:ext uri="{FF2B5EF4-FFF2-40B4-BE49-F238E27FC236}">
              <a16:creationId xmlns:a16="http://schemas.microsoft.com/office/drawing/2014/main" id="{9FD9F69A-CD7D-42C6-A916-449C1B030E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xdr:col>
      <xdr:colOff>47625</xdr:colOff>
      <xdr:row>5</xdr:row>
      <xdr:rowOff>57150</xdr:rowOff>
    </xdr:from>
    <xdr:to>
      <xdr:col>4</xdr:col>
      <xdr:colOff>333375</xdr:colOff>
      <xdr:row>18</xdr:row>
      <xdr:rowOff>0</xdr:rowOff>
    </xdr:to>
    <mc:AlternateContent xmlns:mc="http://schemas.openxmlformats.org/markup-compatibility/2006">
      <mc:Choice xmlns:a14="http://schemas.microsoft.com/office/drawing/2010/main" Requires="a14">
        <xdr:graphicFrame macro="">
          <xdr:nvGraphicFramePr>
            <xdr:cNvPr id="27" name="Rice_Type 1">
              <a:extLst>
                <a:ext uri="{FF2B5EF4-FFF2-40B4-BE49-F238E27FC236}">
                  <a16:creationId xmlns:a16="http://schemas.microsoft.com/office/drawing/2014/main" id="{BABD4833-AB16-4CA8-895B-DD26055F315C}"/>
                </a:ext>
              </a:extLst>
            </xdr:cNvPr>
            <xdr:cNvGraphicFramePr/>
          </xdr:nvGraphicFramePr>
          <xdr:xfrm>
            <a:off x="0" y="0"/>
            <a:ext cx="0" cy="0"/>
          </xdr:xfrm>
          <a:graphic>
            <a:graphicData uri="http://schemas.microsoft.com/office/drawing/2010/slicer">
              <sle:slicer xmlns:sle="http://schemas.microsoft.com/office/drawing/2010/slicer" name="Rice_Type 1"/>
            </a:graphicData>
          </a:graphic>
        </xdr:graphicFrame>
      </mc:Choice>
      <mc:Fallback>
        <xdr:sp macro="" textlink="">
          <xdr:nvSpPr>
            <xdr:cNvPr id="0" name=""/>
            <xdr:cNvSpPr>
              <a:spLocks noTextEdit="1"/>
            </xdr:cNvSpPr>
          </xdr:nvSpPr>
          <xdr:spPr>
            <a:xfrm>
              <a:off x="1275292" y="1009650"/>
              <a:ext cx="1513416" cy="2419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564798</xdr:colOff>
      <xdr:row>19</xdr:row>
      <xdr:rowOff>97718</xdr:rowOff>
    </xdr:from>
    <xdr:to>
      <xdr:col>4</xdr:col>
      <xdr:colOff>364773</xdr:colOff>
      <xdr:row>30</xdr:row>
      <xdr:rowOff>123472</xdr:rowOff>
    </xdr:to>
    <mc:AlternateContent xmlns:mc="http://schemas.openxmlformats.org/markup-compatibility/2006">
      <mc:Choice xmlns:a14="http://schemas.microsoft.com/office/drawing/2010/main" Requires="a14">
        <xdr:graphicFrame macro="">
          <xdr:nvGraphicFramePr>
            <xdr:cNvPr id="28" name="Import_Export 1">
              <a:extLst>
                <a:ext uri="{FF2B5EF4-FFF2-40B4-BE49-F238E27FC236}">
                  <a16:creationId xmlns:a16="http://schemas.microsoft.com/office/drawing/2014/main" id="{C33EF7F2-339C-420A-9441-6E46ECFE7594}"/>
                </a:ext>
              </a:extLst>
            </xdr:cNvPr>
            <xdr:cNvGraphicFramePr/>
          </xdr:nvGraphicFramePr>
          <xdr:xfrm>
            <a:off x="0" y="0"/>
            <a:ext cx="0" cy="0"/>
          </xdr:xfrm>
          <a:graphic>
            <a:graphicData uri="http://schemas.microsoft.com/office/drawing/2010/slicer">
              <sle:slicer xmlns:sle="http://schemas.microsoft.com/office/drawing/2010/slicer" name="Import_Export 1"/>
            </a:graphicData>
          </a:graphic>
        </xdr:graphicFrame>
      </mc:Choice>
      <mc:Fallback>
        <xdr:sp macro="" textlink="">
          <xdr:nvSpPr>
            <xdr:cNvPr id="0" name=""/>
            <xdr:cNvSpPr>
              <a:spLocks noTextEdit="1"/>
            </xdr:cNvSpPr>
          </xdr:nvSpPr>
          <xdr:spPr>
            <a:xfrm>
              <a:off x="1178631" y="3717218"/>
              <a:ext cx="1641475" cy="212125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609248</xdr:colOff>
      <xdr:row>33</xdr:row>
      <xdr:rowOff>87136</xdr:rowOff>
    </xdr:from>
    <xdr:to>
      <xdr:col>4</xdr:col>
      <xdr:colOff>363362</xdr:colOff>
      <xdr:row>44</xdr:row>
      <xdr:rowOff>58561</xdr:rowOff>
    </xdr:to>
    <mc:AlternateContent xmlns:mc="http://schemas.openxmlformats.org/markup-compatibility/2006">
      <mc:Choice xmlns:a14="http://schemas.microsoft.com/office/drawing/2010/main" Requires="a14">
        <xdr:graphicFrame macro="">
          <xdr:nvGraphicFramePr>
            <xdr:cNvPr id="29" name="Region 1">
              <a:extLst>
                <a:ext uri="{FF2B5EF4-FFF2-40B4-BE49-F238E27FC236}">
                  <a16:creationId xmlns:a16="http://schemas.microsoft.com/office/drawing/2014/main" id="{C85E3ED8-E2F6-412D-9C01-2966C6B8BB44}"/>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223081" y="6373636"/>
              <a:ext cx="1595614" cy="20669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581025</xdr:colOff>
      <xdr:row>4</xdr:row>
      <xdr:rowOff>38098</xdr:rowOff>
    </xdr:from>
    <xdr:to>
      <xdr:col>10</xdr:col>
      <xdr:colOff>257175</xdr:colOff>
      <xdr:row>9</xdr:row>
      <xdr:rowOff>152399</xdr:rowOff>
    </xdr:to>
    <mc:AlternateContent xmlns:mc="http://schemas.openxmlformats.org/markup-compatibility/2006">
      <mc:Choice xmlns:tsle="http://schemas.microsoft.com/office/drawing/2012/timeslicer" Requires="tsle">
        <xdr:graphicFrame macro="">
          <xdr:nvGraphicFramePr>
            <xdr:cNvPr id="30" name="Date 3">
              <a:extLst>
                <a:ext uri="{FF2B5EF4-FFF2-40B4-BE49-F238E27FC236}">
                  <a16:creationId xmlns:a16="http://schemas.microsoft.com/office/drawing/2014/main" id="{B35A705C-5739-40C9-A7AD-0B2A83CD52EF}"/>
                </a:ext>
              </a:extLst>
            </xdr:cNvPr>
            <xdr:cNvGraphicFramePr/>
          </xdr:nvGraphicFramePr>
          <xdr:xfrm>
            <a:off x="0" y="0"/>
            <a:ext cx="0" cy="0"/>
          </xdr:xfrm>
          <a:graphic>
            <a:graphicData uri="http://schemas.microsoft.com/office/drawing/2012/timeslicer">
              <tsle:timeslicer xmlns:tsle="http://schemas.microsoft.com/office/drawing/2012/timeslicer" name="Date 3"/>
            </a:graphicData>
          </a:graphic>
        </xdr:graphicFrame>
      </mc:Choice>
      <mc:Fallback>
        <xdr:sp macro="" textlink="">
          <xdr:nvSpPr>
            <xdr:cNvPr id="0" name=""/>
            <xdr:cNvSpPr>
              <a:spLocks noTextEdit="1"/>
            </xdr:cNvSpPr>
          </xdr:nvSpPr>
          <xdr:spPr>
            <a:xfrm>
              <a:off x="3036358" y="800098"/>
              <a:ext cx="3359150" cy="1066801"/>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10</xdr:col>
      <xdr:colOff>285750</xdr:colOff>
      <xdr:row>4</xdr:row>
      <xdr:rowOff>19049</xdr:rowOff>
    </xdr:from>
    <xdr:to>
      <xdr:col>16</xdr:col>
      <xdr:colOff>152400</xdr:colOff>
      <xdr:row>9</xdr:row>
      <xdr:rowOff>180975</xdr:rowOff>
    </xdr:to>
    <mc:AlternateContent xmlns:mc="http://schemas.openxmlformats.org/markup-compatibility/2006">
      <mc:Choice xmlns:tsle="http://schemas.microsoft.com/office/drawing/2012/timeslicer" Requires="tsle">
        <xdr:graphicFrame macro="">
          <xdr:nvGraphicFramePr>
            <xdr:cNvPr id="31" name="Date 4">
              <a:extLst>
                <a:ext uri="{FF2B5EF4-FFF2-40B4-BE49-F238E27FC236}">
                  <a16:creationId xmlns:a16="http://schemas.microsoft.com/office/drawing/2014/main" id="{8999669B-91CA-4867-9AEC-6A780FA1B75F}"/>
                </a:ext>
              </a:extLst>
            </xdr:cNvPr>
            <xdr:cNvGraphicFramePr/>
          </xdr:nvGraphicFramePr>
          <xdr:xfrm>
            <a:off x="0" y="0"/>
            <a:ext cx="0" cy="0"/>
          </xdr:xfrm>
          <a:graphic>
            <a:graphicData uri="http://schemas.microsoft.com/office/drawing/2012/timeslicer">
              <tsle:timeslicer xmlns:tsle="http://schemas.microsoft.com/office/drawing/2012/timeslicer" name="Date 4"/>
            </a:graphicData>
          </a:graphic>
        </xdr:graphicFrame>
      </mc:Choice>
      <mc:Fallback>
        <xdr:sp macro="" textlink="">
          <xdr:nvSpPr>
            <xdr:cNvPr id="0" name=""/>
            <xdr:cNvSpPr>
              <a:spLocks noTextEdit="1"/>
            </xdr:cNvSpPr>
          </xdr:nvSpPr>
          <xdr:spPr>
            <a:xfrm>
              <a:off x="6424083" y="781049"/>
              <a:ext cx="3549650" cy="1114426"/>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16</xdr:col>
      <xdr:colOff>177800</xdr:colOff>
      <xdr:row>3</xdr:row>
      <xdr:rowOff>177801</xdr:rowOff>
    </xdr:from>
    <xdr:to>
      <xdr:col>24</xdr:col>
      <xdr:colOff>76199</xdr:colOff>
      <xdr:row>9</xdr:row>
      <xdr:rowOff>172861</xdr:rowOff>
    </xdr:to>
    <mc:AlternateContent xmlns:mc="http://schemas.openxmlformats.org/markup-compatibility/2006">
      <mc:Choice xmlns:tsle="http://schemas.microsoft.com/office/drawing/2012/timeslicer" Requires="tsle">
        <xdr:graphicFrame macro="">
          <xdr:nvGraphicFramePr>
            <xdr:cNvPr id="32" name="Date 5">
              <a:extLst>
                <a:ext uri="{FF2B5EF4-FFF2-40B4-BE49-F238E27FC236}">
                  <a16:creationId xmlns:a16="http://schemas.microsoft.com/office/drawing/2014/main" id="{B9DD71E6-731B-44E7-A361-4AAFA08433E2}"/>
                </a:ext>
              </a:extLst>
            </xdr:cNvPr>
            <xdr:cNvGraphicFramePr/>
          </xdr:nvGraphicFramePr>
          <xdr:xfrm>
            <a:off x="0" y="0"/>
            <a:ext cx="0" cy="0"/>
          </xdr:xfrm>
          <a:graphic>
            <a:graphicData uri="http://schemas.microsoft.com/office/drawing/2012/timeslicer">
              <tsle:timeslicer xmlns:tsle="http://schemas.microsoft.com/office/drawing/2012/timeslicer" name="Date 5"/>
            </a:graphicData>
          </a:graphic>
        </xdr:graphicFrame>
      </mc:Choice>
      <mc:Fallback>
        <xdr:sp macro="" textlink="">
          <xdr:nvSpPr>
            <xdr:cNvPr id="0" name=""/>
            <xdr:cNvSpPr>
              <a:spLocks noTextEdit="1"/>
            </xdr:cNvSpPr>
          </xdr:nvSpPr>
          <xdr:spPr>
            <a:xfrm>
              <a:off x="9999133" y="749301"/>
              <a:ext cx="4809066" cy="113806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6</xdr:col>
      <xdr:colOff>238125</xdr:colOff>
      <xdr:row>1</xdr:row>
      <xdr:rowOff>0</xdr:rowOff>
    </xdr:from>
    <xdr:to>
      <xdr:col>18</xdr:col>
      <xdr:colOff>342900</xdr:colOff>
      <xdr:row>3</xdr:row>
      <xdr:rowOff>114300</xdr:rowOff>
    </xdr:to>
    <xdr:sp macro="" textlink="">
      <xdr:nvSpPr>
        <xdr:cNvPr id="33" name="TextBox 32">
          <a:extLst>
            <a:ext uri="{FF2B5EF4-FFF2-40B4-BE49-F238E27FC236}">
              <a16:creationId xmlns:a16="http://schemas.microsoft.com/office/drawing/2014/main" id="{FC632004-D4CD-4597-800E-CB318BC6DF5C}"/>
            </a:ext>
          </a:extLst>
        </xdr:cNvPr>
        <xdr:cNvSpPr txBox="1"/>
      </xdr:nvSpPr>
      <xdr:spPr>
        <a:xfrm>
          <a:off x="3895725" y="190500"/>
          <a:ext cx="7419975" cy="495300"/>
        </a:xfrm>
        <a:prstGeom prst="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p>
          <a:pPr algn="ctr"/>
          <a:r>
            <a:rPr lang="en-US" sz="2400"/>
            <a:t>RICE</a:t>
          </a:r>
          <a:r>
            <a:rPr lang="en-US" sz="2400" baseline="0"/>
            <a:t> PRICE PER KG ANALYSIS DASHBOARD</a:t>
          </a:r>
          <a:endParaRPr lang="en-US" sz="2400"/>
        </a:p>
      </xdr:txBody>
    </xdr:sp>
    <xdr:clientData/>
  </xdr:twoCellAnchor>
  <xdr:twoCellAnchor>
    <xdr:from>
      <xdr:col>21</xdr:col>
      <xdr:colOff>66675</xdr:colOff>
      <xdr:row>0</xdr:row>
      <xdr:rowOff>123825</xdr:rowOff>
    </xdr:from>
    <xdr:to>
      <xdr:col>23</xdr:col>
      <xdr:colOff>161925</xdr:colOff>
      <xdr:row>1</xdr:row>
      <xdr:rowOff>133350</xdr:rowOff>
    </xdr:to>
    <xdr:sp macro="" textlink="">
      <xdr:nvSpPr>
        <xdr:cNvPr id="34" name="TextBox 33">
          <a:extLst>
            <a:ext uri="{FF2B5EF4-FFF2-40B4-BE49-F238E27FC236}">
              <a16:creationId xmlns:a16="http://schemas.microsoft.com/office/drawing/2014/main" id="{E71FCC4F-20D2-4C5D-9D2B-8167224CD2B3}"/>
            </a:ext>
          </a:extLst>
        </xdr:cNvPr>
        <xdr:cNvSpPr txBox="1"/>
      </xdr:nvSpPr>
      <xdr:spPr>
        <a:xfrm>
          <a:off x="12868275" y="123825"/>
          <a:ext cx="1314450" cy="200025"/>
        </a:xfrm>
        <a:prstGeom prst="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p>
          <a:r>
            <a:rPr lang="en-US" sz="1100" b="1"/>
            <a:t>LAST</a:t>
          </a:r>
          <a:r>
            <a:rPr lang="en-US" sz="1100" b="1" baseline="0"/>
            <a:t> DATE UPDATE</a:t>
          </a:r>
          <a:endParaRPr lang="en-US" sz="1100" b="1"/>
        </a:p>
      </xdr:txBody>
    </xdr:sp>
    <xdr:clientData/>
  </xdr:twoCellAnchor>
  <xdr:twoCellAnchor>
    <xdr:from>
      <xdr:col>21</xdr:col>
      <xdr:colOff>303389</xdr:colOff>
      <xdr:row>2</xdr:row>
      <xdr:rowOff>9525</xdr:rowOff>
    </xdr:from>
    <xdr:to>
      <xdr:col>23</xdr:col>
      <xdr:colOff>370063</xdr:colOff>
      <xdr:row>3</xdr:row>
      <xdr:rowOff>9525</xdr:rowOff>
    </xdr:to>
    <xdr:sp macro="" textlink="pivotable!$A$71">
      <xdr:nvSpPr>
        <xdr:cNvPr id="35" name="TextBox 34">
          <a:extLst>
            <a:ext uri="{FF2B5EF4-FFF2-40B4-BE49-F238E27FC236}">
              <a16:creationId xmlns:a16="http://schemas.microsoft.com/office/drawing/2014/main" id="{C1686CFC-EA52-44B3-9E04-DE9C5DA0F83C}"/>
            </a:ext>
          </a:extLst>
        </xdr:cNvPr>
        <xdr:cNvSpPr txBox="1"/>
      </xdr:nvSpPr>
      <xdr:spPr>
        <a:xfrm>
          <a:off x="13267972" y="397581"/>
          <a:ext cx="1301397" cy="194027"/>
        </a:xfrm>
        <a:prstGeom prst="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p>
          <a:fld id="{6D732C77-AABD-4E74-B6C2-27DB20A3F6C0}" type="TxLink">
            <a:rPr lang="en-US" sz="1100" b="0"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rPr>
            <a:t>9/26/2025</a:t>
          </a:fld>
          <a:endParaRPr lang="en-US"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editAs="oneCell">
    <xdr:from>
      <xdr:col>5</xdr:col>
      <xdr:colOff>562131</xdr:colOff>
      <xdr:row>0</xdr:row>
      <xdr:rowOff>156148</xdr:rowOff>
    </xdr:from>
    <xdr:to>
      <xdr:col>7</xdr:col>
      <xdr:colOff>256250</xdr:colOff>
      <xdr:row>3</xdr:row>
      <xdr:rowOff>140533</xdr:rowOff>
    </xdr:to>
    <xdr:pic>
      <xdr:nvPicPr>
        <xdr:cNvPr id="37" name="Graphic 36" descr="Bank with solid fill">
          <a:extLst>
            <a:ext uri="{FF2B5EF4-FFF2-40B4-BE49-F238E27FC236}">
              <a16:creationId xmlns:a16="http://schemas.microsoft.com/office/drawing/2014/main" id="{89021BFF-94D0-4F8D-8F0D-AB5A35894FD3}"/>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3607008" y="156148"/>
          <a:ext cx="912070" cy="546516"/>
        </a:xfrm>
        <a:prstGeom prst="rect">
          <a:avLst/>
        </a:prstGeom>
      </xdr:spPr>
    </xdr:pic>
    <xdr:clientData/>
  </xdr:twoCellAnchor>
  <xdr:twoCellAnchor>
    <xdr:from>
      <xdr:col>12</xdr:col>
      <xdr:colOff>282224</xdr:colOff>
      <xdr:row>15</xdr:row>
      <xdr:rowOff>35276</xdr:rowOff>
    </xdr:from>
    <xdr:to>
      <xdr:col>19</xdr:col>
      <xdr:colOff>529167</xdr:colOff>
      <xdr:row>26</xdr:row>
      <xdr:rowOff>105834</xdr:rowOff>
    </xdr:to>
    <xdr:graphicFrame macro="">
      <xdr:nvGraphicFramePr>
        <xdr:cNvPr id="38" name="Chart 37">
          <a:extLst>
            <a:ext uri="{FF2B5EF4-FFF2-40B4-BE49-F238E27FC236}">
              <a16:creationId xmlns:a16="http://schemas.microsoft.com/office/drawing/2014/main" id="{A09FA0F4-09DF-4DB4-A2FC-B42F06E4BC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605014</xdr:colOff>
      <xdr:row>40</xdr:row>
      <xdr:rowOff>64203</xdr:rowOff>
    </xdr:from>
    <xdr:to>
      <xdr:col>12</xdr:col>
      <xdr:colOff>529167</xdr:colOff>
      <xdr:row>55</xdr:row>
      <xdr:rowOff>35277</xdr:rowOff>
    </xdr:to>
    <xdr:graphicFrame macro="">
      <xdr:nvGraphicFramePr>
        <xdr:cNvPr id="39" name="Chart 38">
          <a:extLst>
            <a:ext uri="{FF2B5EF4-FFF2-40B4-BE49-F238E27FC236}">
              <a16:creationId xmlns:a16="http://schemas.microsoft.com/office/drawing/2014/main" id="{F382AA11-FFC2-4494-B47E-81DEE1D957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USER" refreshedDate="46319.672018287034" createdVersion="7" refreshedVersion="7" minRefreshableVersion="3" recordCount="898">
  <cacheSource type="worksheet">
    <worksheetSource name="Table1"/>
  </cacheSource>
  <cacheFields count="13">
    <cacheField name="Rice_ID" numFmtId="0">
      <sharedItems containsSemiMixedTypes="0" containsString="0" containsNumber="1" containsInteger="1" minValue="2" maxValue="1000"/>
    </cacheField>
    <cacheField name="Region" numFmtId="0">
      <sharedItems containsBlank="1" count="6">
        <s v="West"/>
        <s v="North"/>
        <s v="unknow"/>
        <s v="East"/>
        <s v="South"/>
        <m u="1"/>
      </sharedItems>
    </cacheField>
    <cacheField name="Rice_Type" numFmtId="0">
      <sharedItems containsBlank="1" count="6">
        <s v="Brown"/>
        <s v="Basmati"/>
        <s v="White"/>
        <s v="Jasmine"/>
        <s v="unknow"/>
        <m u="1"/>
      </sharedItems>
    </cacheField>
    <cacheField name="Price_per_kg" numFmtId="166">
      <sharedItems containsSemiMixedTypes="0" containsString="0" containsNumber="1" minValue="21.12" maxValue="416.37"/>
    </cacheField>
    <cacheField name="Demand_Tons" numFmtId="0">
      <sharedItems containsSemiMixedTypes="0" containsString="0" containsNumber="1" minValue="152.86000000000001" maxValue="2793.35"/>
    </cacheField>
    <cacheField name="Supply_Tons" numFmtId="0">
      <sharedItems containsSemiMixedTypes="0" containsString="0" containsNumber="1" minValue="132.01" maxValue="811.92"/>
    </cacheField>
    <cacheField name="Rainfall_mm" numFmtId="0">
      <sharedItems containsSemiMixedTypes="0" containsString="0" containsNumber="1" minValue="36.25" maxValue="338.44"/>
    </cacheField>
    <cacheField name="Temperature_C" numFmtId="0">
      <sharedItems containsSemiMixedTypes="0" containsString="0" containsNumber="1" minValue="12.09" maxValue="45.45"/>
    </cacheField>
    <cacheField name="Import_Export" numFmtId="0">
      <sharedItems containsBlank="1" count="4">
        <s v="Export"/>
        <s v="unknow"/>
        <s v="Import"/>
        <m u="1"/>
      </sharedItems>
    </cacheField>
    <cacheField name="Date" numFmtId="0">
      <sharedItems containsNonDate="0" containsDate="1" containsString="0" containsBlank="1" minDate="2023-01-02T00:00:00" maxDate="2025-09-27T00:00:00" count="887">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7T00:00:00"/>
        <d v="2023-01-28T00:00:00"/>
        <d v="2023-01-29T00:00:00"/>
        <d v="2023-01-30T00:00:00"/>
        <d v="2023-01-31T00:00:00"/>
        <d v="2023-02-01T00:00:00"/>
        <d v="2023-02-02T00:00:00"/>
        <d v="2023-02-03T00:00:00"/>
        <d v="2023-02-04T00:00:00"/>
        <d v="2023-02-05T00:00:00"/>
        <m/>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4T00:00:00"/>
        <d v="2023-02-25T00:00:00"/>
        <d v="2023-02-26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6T00:00:00"/>
        <d v="2023-03-18T00:00:00"/>
        <d v="2023-03-19T00:00:00"/>
        <d v="2023-03-20T00:00:00"/>
        <d v="2023-03-22T00:00:00"/>
        <d v="2023-03-23T00:00:00"/>
        <d v="2023-03-24T00:00:00"/>
        <d v="2023-03-26T00:00:00"/>
        <d v="2023-03-27T00:00:00"/>
        <d v="2023-03-28T00:00:00"/>
        <d v="2023-03-29T00:00:00"/>
        <d v="2023-03-30T00:00:00"/>
        <d v="2023-03-31T00:00:00"/>
        <d v="2023-04-01T00:00:00"/>
        <d v="2023-04-02T00:00:00"/>
        <d v="2023-04-03T00:00:00"/>
        <d v="2023-04-04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7T00:00:00"/>
        <d v="2023-04-28T00:00:00"/>
        <d v="2023-04-30T00:00:00"/>
        <d v="2023-05-01T00:00:00"/>
        <d v="2023-05-02T00:00:00"/>
        <d v="2023-05-03T00:00:00"/>
        <d v="2023-05-04T00:00:00"/>
        <d v="2023-05-05T00:00:00"/>
        <d v="2023-05-06T00:00:00"/>
        <d v="2023-05-07T00:00:00"/>
        <d v="2023-05-08T00:00:00"/>
        <d v="2023-05-09T00:00:00"/>
        <d v="2023-05-10T00:00:00"/>
        <d v="2023-05-11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9T00:00:00"/>
        <d v="2023-06-10T00:00:00"/>
        <d v="2023-06-13T00:00:00"/>
        <d v="2023-06-14T00:00:00"/>
        <d v="2023-06-15T00:00:00"/>
        <d v="2023-06-16T00:00:00"/>
        <d v="2023-06-17T00:00:00"/>
        <d v="2023-06-18T00:00:00"/>
        <d v="2023-06-20T00:00:00"/>
        <d v="2023-06-21T00:00:00"/>
        <d v="2023-06-22T00:00:00"/>
        <d v="2023-06-23T00:00:00"/>
        <d v="2023-06-24T00:00:00"/>
        <d v="2023-06-26T00:00:00"/>
        <d v="2023-06-27T00:00:00"/>
        <d v="2023-06-28T00:00:00"/>
        <d v="2023-06-29T00:00:00"/>
        <d v="2023-06-30T00:00:00"/>
        <d v="2023-07-01T00:00:00"/>
        <d v="2023-07-02T00:00:00"/>
        <d v="2023-07-03T00:00:00"/>
        <d v="2023-07-04T00:00:00"/>
        <d v="2023-07-05T00:00:00"/>
        <d v="2023-07-07T00:00:00"/>
        <d v="2023-07-08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1T00:00:00"/>
        <d v="2023-08-01T00:00:00"/>
        <d v="2023-08-02T00:00:00"/>
        <d v="2023-08-03T00:00:00"/>
        <d v="2023-08-04T00:00:00"/>
        <d v="2023-08-05T00:00:00"/>
        <d v="2023-08-06T00:00:00"/>
        <d v="2023-08-08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6T00:00:00"/>
        <d v="2023-10-17T00:00:00"/>
        <d v="2023-10-18T00:00:00"/>
        <d v="2023-10-19T00:00:00"/>
        <d v="2023-10-20T00:00:00"/>
        <d v="2023-10-21T00:00:00"/>
        <d v="2023-10-22T00:00:00"/>
        <d v="2023-10-23T00:00:00"/>
        <d v="2023-10-24T00:00:00"/>
        <d v="2023-10-25T00:00:00"/>
        <d v="2023-10-26T00:00:00"/>
        <d v="2023-10-27T00:00:00"/>
        <d v="2023-10-29T00:00:00"/>
        <d v="2023-10-30T00:00:00"/>
        <d v="2023-10-31T00:00:00"/>
        <d v="2023-11-02T00:00:00"/>
        <d v="2023-11-03T00:00:00"/>
        <d v="2023-11-04T00:00:00"/>
        <d v="2023-11-05T00:00:00"/>
        <d v="2023-11-06T00:00:00"/>
        <d v="2023-11-07T00:00:00"/>
        <d v="2023-11-08T00:00:00"/>
        <d v="2023-11-09T00:00:00"/>
        <d v="2023-11-10T00:00:00"/>
        <d v="2023-11-12T00:00:00"/>
        <d v="2023-11-14T00:00:00"/>
        <d v="2023-11-15T00:00:00"/>
        <d v="2023-11-16T00:00:00"/>
        <d v="2023-11-17T00:00:00"/>
        <d v="2023-11-18T00:00:00"/>
        <d v="2023-11-19T00:00:00"/>
        <d v="2023-11-21T00:00:00"/>
        <d v="2023-11-22T00:00:00"/>
        <d v="2023-11-23T00:00:00"/>
        <d v="2023-11-24T00:00:00"/>
        <d v="2023-11-25T00:00:00"/>
        <d v="2023-11-26T00:00:00"/>
        <d v="2023-11-27T00:00:00"/>
        <d v="2023-11-28T00:00:00"/>
        <d v="2023-11-30T00:00:00"/>
        <d v="2023-12-01T00:00:00"/>
        <d v="2023-12-02T00:00:00"/>
        <d v="2023-12-03T00:00:00"/>
        <d v="2023-12-04T00:00:00"/>
        <d v="2023-12-06T00:00:00"/>
        <d v="2023-12-08T00:00:00"/>
        <d v="2023-12-09T00:00:00"/>
        <d v="2023-12-10T00:00:00"/>
        <d v="2023-12-12T00:00:00"/>
        <d v="2023-12-13T00:00:00"/>
        <d v="2023-12-14T00:00:00"/>
        <d v="2023-12-15T00:00:00"/>
        <d v="2023-12-16T00:00:00"/>
        <d v="2023-12-17T00:00:00"/>
        <d v="2023-12-18T00:00:00"/>
        <d v="2023-12-19T00:00:00"/>
        <d v="2023-12-20T00:00:00"/>
        <d v="2023-12-21T00:00:00"/>
        <d v="2023-12-23T00:00:00"/>
        <d v="2023-12-24T00:00:00"/>
        <d v="2023-12-25T00:00:00"/>
        <d v="2023-12-26T00:00:00"/>
        <d v="2023-12-27T00:00:00"/>
        <d v="2023-12-28T00:00:00"/>
        <d v="2023-12-29T00:00:00"/>
        <d v="2023-12-30T00:00:00"/>
        <d v="2023-12-31T00:00:00"/>
        <d v="2024-01-01T00:00:00"/>
        <d v="2024-01-02T00:00:00"/>
        <d v="2024-01-03T00:00:00"/>
        <d v="2024-01-06T00:00:00"/>
        <d v="2024-01-08T00:00:00"/>
        <d v="2024-01-09T00:00:00"/>
        <d v="2024-01-10T00:00:00"/>
        <d v="2024-01-11T00:00:00"/>
        <d v="2024-01-12T00:00:00"/>
        <d v="2024-01-13T00:00:00"/>
        <d v="2024-01-14T00:00:00"/>
        <d v="2024-01-15T00:00:00"/>
        <d v="2024-01-16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8T00:00:00"/>
        <d v="2024-02-09T00:00:00"/>
        <d v="2024-02-10T00:00:00"/>
        <d v="2024-02-11T00:00:00"/>
        <d v="2024-02-12T00:00:00"/>
        <d v="2024-02-13T00:00:00"/>
        <d v="2024-02-14T00:00:00"/>
        <d v="2024-02-15T00:00:00"/>
        <d v="2024-02-16T00:00:00"/>
        <d v="2024-02-17T00:00:00"/>
        <d v="2024-02-19T00:00:00"/>
        <d v="2024-02-20T00:00:00"/>
        <d v="2024-02-21T00:00:00"/>
        <d v="2024-02-22T00:00:00"/>
        <d v="2024-02-23T00:00:00"/>
        <d v="2024-02-25T00:00:00"/>
        <d v="2024-02-26T00:00:00"/>
        <d v="2024-02-27T00:00:00"/>
        <d v="2024-02-28T00:00:00"/>
        <d v="2024-02-29T00:00:00"/>
        <d v="2024-03-02T00:00:00"/>
        <d v="2024-03-03T00:00:00"/>
        <d v="2024-03-04T00:00:00"/>
        <d v="2024-03-05T00:00:00"/>
        <d v="2024-03-06T00:00:00"/>
        <d v="2024-03-07T00:00:00"/>
        <d v="2024-03-08T00:00:00"/>
        <d v="2024-03-09T00:00:00"/>
        <d v="2024-03-10T00:00:00"/>
        <d v="2024-03-11T00:00:00"/>
        <d v="2024-03-12T00:00:00"/>
        <d v="2024-03-14T00:00:00"/>
        <d v="2024-03-15T00:00:00"/>
        <d v="2024-03-16T00:00:00"/>
        <d v="2024-03-17T00:00:00"/>
        <d v="2024-03-18T00:00:00"/>
        <d v="2024-03-19T00:00:00"/>
        <d v="2024-03-20T00:00:00"/>
        <d v="2024-03-21T00:00:00"/>
        <d v="2024-03-22T00:00:00"/>
        <d v="2024-03-23T00:00:00"/>
        <d v="2024-03-24T00:00:00"/>
        <d v="2024-03-25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5-01T00:00:00"/>
        <d v="2024-05-02T00:00:00"/>
        <d v="2024-05-03T00:00:00"/>
        <d v="2024-05-05T00:00:00"/>
        <d v="2024-05-06T00:00:00"/>
        <d v="2024-05-07T00:00:00"/>
        <d v="2024-05-08T00:00:00"/>
        <d v="2024-05-11T00:00:00"/>
        <d v="2024-05-12T00:00:00"/>
        <d v="2024-05-13T00:00:00"/>
        <d v="2024-05-14T00:00:00"/>
        <d v="2024-05-15T00:00:00"/>
        <d v="2024-05-17T00:00:00"/>
        <d v="2024-05-18T00:00:00"/>
        <d v="2024-05-19T00:00:00"/>
        <d v="2024-05-20T00:00:00"/>
        <d v="2024-05-21T00:00:00"/>
        <d v="2024-05-22T00:00:00"/>
        <d v="2024-05-23T00:00:00"/>
        <d v="2024-05-24T00:00:00"/>
        <d v="2024-05-25T00:00:00"/>
        <d v="2024-05-26T00:00:00"/>
        <d v="2024-05-27T00:00:00"/>
        <d v="2024-05-29T00:00:00"/>
        <d v="2024-05-30T00:00:00"/>
        <d v="2024-05-31T00:00:00"/>
        <d v="2024-06-01T00:00:00"/>
        <d v="2024-06-03T00:00:00"/>
        <d v="2024-06-06T00:00:00"/>
        <d v="2024-06-07T00:00:00"/>
        <d v="2024-06-08T00:00:00"/>
        <d v="2024-06-09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7T00:00:00"/>
        <d v="2024-06-28T00:00:00"/>
        <d v="2024-06-30T00:00:00"/>
        <d v="2024-07-02T00:00:00"/>
        <d v="2024-07-03T00:00:00"/>
        <d v="2024-07-04T00:00:00"/>
        <d v="2024-07-05T00:00:00"/>
        <d v="2024-07-06T00:00:00"/>
        <d v="2024-07-07T00:00:00"/>
        <d v="2024-07-08T00:00:00"/>
        <d v="2024-07-09T00:00:00"/>
        <d v="2024-07-10T00:00:00"/>
        <d v="2024-07-11T00:00:00"/>
        <d v="2024-07-13T00:00:00"/>
        <d v="2024-07-14T00:00:00"/>
        <d v="2024-07-15T00:00:00"/>
        <d v="2024-07-16T00:00:00"/>
        <d v="2024-07-17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5T00:00:00"/>
        <d v="2024-08-16T00:00:00"/>
        <d v="2024-08-17T00:00:00"/>
        <d v="2024-08-18T00:00:00"/>
        <d v="2024-08-19T00:00:00"/>
        <d v="2024-08-20T00:00:00"/>
        <d v="2024-08-22T00:00:00"/>
        <d v="2024-08-23T00:00:00"/>
        <d v="2024-08-24T00:00:00"/>
        <d v="2024-08-25T00:00:00"/>
        <d v="2024-08-26T00:00:00"/>
        <d v="2024-08-27T00:00:00"/>
        <d v="2024-08-28T00:00:00"/>
        <d v="2024-08-29T00:00:00"/>
        <d v="2024-08-31T00:00:00"/>
        <d v="2024-09-02T00:00:00"/>
        <d v="2024-09-03T00:00:00"/>
        <d v="2024-09-04T00:00:00"/>
        <d v="2024-09-06T00:00:00"/>
        <d v="2024-09-07T00:00:00"/>
        <d v="2024-09-08T00:00:00"/>
        <d v="2024-09-09T00:00:00"/>
        <d v="2024-09-11T00:00:00"/>
        <d v="2024-09-12T00:00:00"/>
        <d v="2024-09-14T00:00:00"/>
        <d v="2024-09-15T00:00:00"/>
        <d v="2024-09-16T00:00:00"/>
        <d v="2024-09-17T00:00:00"/>
        <d v="2024-09-18T00:00:00"/>
        <d v="2024-09-19T00:00:00"/>
        <d v="2024-09-20T00:00:00"/>
        <d v="2024-09-21T00:00:00"/>
        <d v="2024-09-22T00:00:00"/>
        <d v="2024-09-23T00:00:00"/>
        <d v="2024-09-24T00:00:00"/>
        <d v="2024-09-25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5T00:00:00"/>
        <d v="2024-10-26T00:00:00"/>
        <d v="2024-10-27T00:00:00"/>
        <d v="2024-10-28T00:00:00"/>
        <d v="2024-10-29T00:00:00"/>
        <d v="2024-10-30T00:00:00"/>
        <d v="2024-10-31T00:00:00"/>
        <d v="2024-11-01T00:00:00"/>
        <d v="2024-11-02T00:00:00"/>
        <d v="2024-11-04T00:00:00"/>
        <d v="2024-11-05T00:00:00"/>
        <d v="2024-11-06T00:00:00"/>
        <d v="2024-11-07T00:00:00"/>
        <d v="2024-11-08T00:00:00"/>
        <d v="2024-11-10T00:00:00"/>
        <d v="2024-11-11T00:00:00"/>
        <d v="2024-11-12T00:00:00"/>
        <d v="2024-11-13T00:00:00"/>
        <d v="2024-11-14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6T00:00:00"/>
        <d v="2024-12-07T00:00:00"/>
        <d v="2024-12-08T00:00:00"/>
        <d v="2024-12-09T00:00:00"/>
        <d v="2024-12-10T00:00:00"/>
        <d v="2024-12-11T00:00:00"/>
        <d v="2024-12-13T00:00:00"/>
        <d v="2024-12-14T00:00:00"/>
        <d v="2024-12-15T00:00:00"/>
        <d v="2024-12-16T00:00:00"/>
        <d v="2024-12-17T00:00:00"/>
        <d v="2024-12-18T00:00:00"/>
        <d v="2024-12-19T00:00:00"/>
        <d v="2024-12-20T00:00:00"/>
        <d v="2024-12-22T00:00:00"/>
        <d v="2024-12-23T00:00:00"/>
        <d v="2024-12-24T00:00:00"/>
        <d v="2024-12-25T00:00:00"/>
        <d v="2024-12-26T00:00:00"/>
        <d v="2024-12-27T00:00:00"/>
        <d v="2024-12-28T00:00:00"/>
        <d v="2024-12-29T00:00:00"/>
        <d v="2024-12-30T00:00:00"/>
        <d v="2024-12-31T00:00:00"/>
        <d v="2025-01-01T00:00:00"/>
        <d v="2025-01-02T00:00:00"/>
        <d v="2025-01-04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1T00:00:00"/>
        <d v="2025-01-22T00:00:00"/>
        <d v="2025-01-23T00:00:00"/>
        <d v="2025-01-24T00:00:00"/>
        <d v="2025-01-25T00:00:00"/>
        <d v="2025-01-27T00:00:00"/>
        <d v="2025-01-28T00:00:00"/>
        <d v="2025-01-29T00:00:00"/>
        <d v="2025-01-3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8T00:00:00"/>
        <d v="2025-02-19T00:00:00"/>
        <d v="2025-02-20T00:00:00"/>
        <d v="2025-02-21T00:00:00"/>
        <d v="2025-02-22T00:00:00"/>
        <d v="2025-02-23T00:00:00"/>
        <d v="2025-02-24T00:00:00"/>
        <d v="2025-02-25T00:00:00"/>
        <d v="2025-02-28T00:00:00"/>
        <d v="2025-03-01T00:00:00"/>
        <d v="2025-03-02T00:00:00"/>
        <d v="2025-03-03T00:00:00"/>
        <d v="2025-03-04T00:00:00"/>
        <d v="2025-03-06T00:00:00"/>
        <d v="2025-03-07T00:00:00"/>
        <d v="2025-03-08T00:00:00"/>
        <d v="2025-03-09T00:00:00"/>
        <d v="2025-03-10T00:00:00"/>
        <d v="2025-03-11T00:00:00"/>
        <d v="2025-03-12T00:00:00"/>
        <d v="2025-03-13T00:00:00"/>
        <d v="2025-03-14T00:00:00"/>
        <d v="2025-03-15T00:00:00"/>
        <d v="2025-03-16T00:00:00"/>
        <d v="2025-03-17T00:00:00"/>
        <d v="2025-03-19T00:00:00"/>
        <d v="2025-03-20T00:00:00"/>
        <d v="2025-03-21T00:00:00"/>
        <d v="2025-03-22T00:00:00"/>
        <d v="2025-03-23T00:00:00"/>
        <d v="2025-03-24T00:00:00"/>
        <d v="2025-03-25T00:00:00"/>
        <d v="2025-03-27T00:00:00"/>
        <d v="2025-03-28T00:00:00"/>
        <d v="2025-03-29T00:00:00"/>
        <d v="2025-03-30T00:00:00"/>
        <d v="2025-03-31T00:00:00"/>
        <d v="2025-04-01T00:00:00"/>
        <d v="2025-04-02T00:00:00"/>
        <d v="2025-04-03T00:00:00"/>
        <d v="2025-04-04T00:00:00"/>
        <d v="2025-04-05T00:00:00"/>
        <d v="2025-04-06T00:00:00"/>
        <d v="2025-04-08T00:00:00"/>
        <d v="2025-04-09T00:00:00"/>
        <d v="2025-04-10T00:00:00"/>
        <d v="2025-04-11T00:00:00"/>
        <d v="2025-04-13T00:00:00"/>
        <d v="2025-04-14T00:00:00"/>
        <d v="2025-04-15T00:00:00"/>
        <d v="2025-04-16T00:00:00"/>
        <d v="2025-04-18T00:00:00"/>
        <d v="2025-04-19T00:00:00"/>
        <d v="2025-04-20T00:00:00"/>
        <d v="2025-04-21T00:00:00"/>
        <d v="2025-04-23T00:00:00"/>
        <d v="2025-04-25T00:00:00"/>
        <d v="2025-04-26T00:00:00"/>
        <d v="2025-04-27T00:00:00"/>
        <d v="2025-04-28T00:00:00"/>
        <d v="2025-04-29T00:00:00"/>
        <d v="2025-04-30T00:00:00"/>
        <d v="2025-05-01T00:00:00"/>
        <d v="2025-05-03T00:00:00"/>
        <d v="2025-05-04T00:00:00"/>
        <d v="2025-05-06T00:00:00"/>
        <d v="2025-05-07T00:00:00"/>
        <d v="2025-05-08T00:00:00"/>
        <d v="2025-05-09T00:00:00"/>
        <d v="2025-05-10T00:00:00"/>
        <d v="2025-05-11T00:00:00"/>
        <d v="2025-05-12T00:00:00"/>
        <d v="2025-05-13T00:00:00"/>
        <d v="2025-05-14T00:00:00"/>
        <d v="2025-05-15T00:00:00"/>
        <d v="2025-05-16T00:00:00"/>
        <d v="2025-05-17T00:00:00"/>
        <d v="2025-05-18T00:00:00"/>
        <d v="2025-05-20T00:00:00"/>
        <d v="2025-05-21T00:00:00"/>
        <d v="2025-05-22T00:00:00"/>
        <d v="2025-05-23T00:00:00"/>
        <d v="2025-05-24T00:00:00"/>
        <d v="2025-05-25T00:00:00"/>
        <d v="2025-05-26T00:00:00"/>
        <d v="2025-05-27T00:00:00"/>
        <d v="2025-05-28T00:00:00"/>
        <d v="2025-05-29T00:00:00"/>
        <d v="2025-05-31T00:00:00"/>
        <d v="2025-06-01T00:00:00"/>
        <d v="2025-06-02T00:00:00"/>
        <d v="2025-06-03T00:00:00"/>
        <d v="2025-06-04T00:00:00"/>
        <d v="2025-06-05T00:00:00"/>
        <d v="2025-06-06T00:00:00"/>
        <d v="2025-06-07T00:00:00"/>
        <d v="2025-06-08T00:00:00"/>
        <d v="2025-06-11T00:00:00"/>
        <d v="2025-06-12T00:00:00"/>
        <d v="2025-06-13T00:00:00"/>
        <d v="2025-06-14T00:00:00"/>
        <d v="2025-06-15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1T00:00:00"/>
        <d v="2025-08-12T00:00:00"/>
        <d v="2025-08-13T00:00:00"/>
        <d v="2025-08-14T00:00:00"/>
        <d v="2025-08-15T00:00:00"/>
        <d v="2025-08-16T00:00:00"/>
        <d v="2025-08-17T00:00:00"/>
        <d v="2025-08-18T00:00:00"/>
        <d v="2025-08-19T00:00:00"/>
        <d v="2025-08-20T00:00:00"/>
        <d v="2025-08-23T00:00:00"/>
        <d v="2025-08-24T00:00:00"/>
        <d v="2025-08-26T00:00:00"/>
        <d v="2025-08-27T00:00:00"/>
        <d v="2025-08-28T00:00:00"/>
        <d v="2025-08-29T00:00:00"/>
        <d v="2025-08-30T00:00:00"/>
        <d v="2025-08-31T00:00:00"/>
        <d v="2025-09-01T00:00:00"/>
        <d v="2025-09-02T00:00:00"/>
        <d v="2025-09-03T00:00:00"/>
        <d v="2025-09-04T00:00:00"/>
        <d v="2025-09-06T00:00:00"/>
        <d v="2025-09-07T00:00:00"/>
        <d v="2025-09-08T00:00:00"/>
        <d v="2025-09-09T00:00:00"/>
        <d v="2025-09-12T00:00:00"/>
        <d v="2025-09-13T00:00:00"/>
        <d v="2025-09-14T00:00:00"/>
        <d v="2025-09-15T00:00:00"/>
        <d v="2025-09-16T00:00:00"/>
        <d v="2025-09-17T00:00:00"/>
        <d v="2025-09-18T00:00:00"/>
        <d v="2025-09-19T00:00:00"/>
        <d v="2025-09-20T00:00:00"/>
        <d v="2025-09-21T00:00:00"/>
        <d v="2025-09-22T00:00:00"/>
        <d v="2025-09-24T00:00:00"/>
        <d v="2025-09-25T00:00:00"/>
        <d v="2025-09-26T00:00:00"/>
      </sharedItems>
      <fieldGroup par="12" base="9">
        <rangePr groupBy="months" startDate="2023-01-02T00:00:00" endDate="2025-09-27T00:00:00"/>
        <groupItems count="14">
          <s v="(blank)"/>
          <s v="Jan"/>
          <s v="Feb"/>
          <s v="Mar"/>
          <s v="Apr"/>
          <s v="May"/>
          <s v="Jun"/>
          <s v="Jul"/>
          <s v="Aug"/>
          <s v="Sep"/>
          <s v="Oct"/>
          <s v="Nov"/>
          <s v="Dec"/>
          <s v="&gt;9/27/2025"/>
        </groupItems>
      </fieldGroup>
    </cacheField>
    <cacheField name="Year" numFmtId="0">
      <sharedItems containsString="0" containsBlank="1" containsNumber="1" containsInteger="1" minValue="2023" maxValue="2025" count="4">
        <n v="2023"/>
        <m/>
        <n v="2024"/>
        <n v="2025"/>
      </sharedItems>
    </cacheField>
    <cacheField name="Quarters" numFmtId="0" databaseField="0">
      <fieldGroup base="9">
        <rangePr groupBy="quarters" startDate="2023-01-02T00:00:00" endDate="2025-09-27T00:00:00"/>
        <groupItems count="6">
          <s v="&lt;1/2/2023"/>
          <s v="Qtr1"/>
          <s v="Qtr2"/>
          <s v="Qtr3"/>
          <s v="Qtr4"/>
          <s v="&gt;9/27/2025"/>
        </groupItems>
      </fieldGroup>
    </cacheField>
    <cacheField name="Years" numFmtId="0" databaseField="0">
      <fieldGroup base="9">
        <rangePr groupBy="years" startDate="2023-01-02T00:00:00" endDate="2025-09-27T00:00:00"/>
        <groupItems count="5">
          <s v="&lt;1/2/2023"/>
          <s v="2023"/>
          <s v="2024"/>
          <s v="2025"/>
          <s v="&gt;9/27/2025"/>
        </groupItems>
      </fieldGroup>
    </cacheField>
  </cacheFields>
  <extLst>
    <ext xmlns:x14="http://schemas.microsoft.com/office/spreadsheetml/2009/9/main" uri="{725AE2AE-9491-48be-B2B4-4EB974FC3084}">
      <x14:pivotCacheDefinition pivotCacheId="1305062597"/>
    </ext>
  </extLst>
</pivotCacheDefinition>
</file>

<file path=xl/pivotCache/pivotCacheRecords1.xml><?xml version="1.0" encoding="utf-8"?>
<pivotCacheRecords xmlns="http://schemas.openxmlformats.org/spreadsheetml/2006/main" xmlns:r="http://schemas.openxmlformats.org/officeDocument/2006/relationships" count="898">
  <r>
    <n v="2"/>
    <x v="0"/>
    <x v="0"/>
    <n v="43.31"/>
    <n v="539.04999999999995"/>
    <n v="420.87"/>
    <n v="106.16"/>
    <n v="36.42"/>
    <x v="0"/>
    <x v="0"/>
    <x v="0"/>
  </r>
  <r>
    <n v="3"/>
    <x v="1"/>
    <x v="1"/>
    <n v="50.74"/>
    <n v="525.53"/>
    <n v="379.67"/>
    <n v="220.53"/>
    <n v="41.03"/>
    <x v="0"/>
    <x v="1"/>
    <x v="0"/>
  </r>
  <r>
    <n v="4"/>
    <x v="2"/>
    <x v="1"/>
    <n v="47.71"/>
    <n v="604.59"/>
    <n v="253.83"/>
    <n v="244.01"/>
    <n v="36"/>
    <x v="1"/>
    <x v="2"/>
    <x v="0"/>
  </r>
  <r>
    <n v="5"/>
    <x v="3"/>
    <x v="1"/>
    <n v="59.51"/>
    <n v="355.19"/>
    <n v="507.52"/>
    <n v="229.43"/>
    <n v="23.7"/>
    <x v="2"/>
    <x v="3"/>
    <x v="0"/>
  </r>
  <r>
    <n v="6"/>
    <x v="2"/>
    <x v="2"/>
    <n v="46.57"/>
    <n v="415.73"/>
    <n v="685.52"/>
    <n v="195.8"/>
    <n v="33.94"/>
    <x v="2"/>
    <x v="4"/>
    <x v="0"/>
  </r>
  <r>
    <n v="7"/>
    <x v="1"/>
    <x v="3"/>
    <n v="55.06"/>
    <n v="563.98"/>
    <n v="472.48"/>
    <n v="216.66"/>
    <n v="35.119999999999997"/>
    <x v="2"/>
    <x v="5"/>
    <x v="0"/>
  </r>
  <r>
    <n v="8"/>
    <x v="2"/>
    <x v="1"/>
    <n v="49.71"/>
    <n v="427.47"/>
    <n v="257.92"/>
    <n v="208.49"/>
    <n v="27.98"/>
    <x v="2"/>
    <x v="6"/>
    <x v="0"/>
  </r>
  <r>
    <n v="9"/>
    <x v="4"/>
    <x v="3"/>
    <n v="52.7"/>
    <n v="524.04999999999995"/>
    <n v="573.64"/>
    <n v="115.53"/>
    <n v="32.44"/>
    <x v="0"/>
    <x v="7"/>
    <x v="0"/>
  </r>
  <r>
    <n v="10"/>
    <x v="3"/>
    <x v="1"/>
    <n v="47.7"/>
    <n v="258.02999999999997"/>
    <n v="285.02"/>
    <n v="209.67"/>
    <n v="27.72"/>
    <x v="2"/>
    <x v="8"/>
    <x v="0"/>
  </r>
  <r>
    <n v="11"/>
    <x v="2"/>
    <x v="2"/>
    <n v="57.08"/>
    <n v="771.59"/>
    <n v="334.92"/>
    <n v="181.65"/>
    <n v="37.64"/>
    <x v="0"/>
    <x v="9"/>
    <x v="0"/>
  </r>
  <r>
    <n v="12"/>
    <x v="3"/>
    <x v="2"/>
    <n v="57.23"/>
    <n v="473.03"/>
    <n v="451.4"/>
    <n v="164.76"/>
    <n v="31.83"/>
    <x v="0"/>
    <x v="10"/>
    <x v="0"/>
  </r>
  <r>
    <n v="13"/>
    <x v="3"/>
    <x v="1"/>
    <n v="54.6"/>
    <n v="619.4"/>
    <n v="494.74"/>
    <n v="324.25"/>
    <n v="25.41"/>
    <x v="2"/>
    <x v="11"/>
    <x v="0"/>
  </r>
  <r>
    <n v="14"/>
    <x v="1"/>
    <x v="3"/>
    <n v="56.08"/>
    <n v="466.31"/>
    <n v="358.96"/>
    <n v="262.63"/>
    <n v="33.35"/>
    <x v="0"/>
    <x v="12"/>
    <x v="0"/>
  </r>
  <r>
    <n v="15"/>
    <x v="0"/>
    <x v="4"/>
    <n v="40.56"/>
    <n v="541.47"/>
    <n v="446.72"/>
    <n v="142.49"/>
    <n v="35.29"/>
    <x v="1"/>
    <x v="13"/>
    <x v="0"/>
  </r>
  <r>
    <n v="16"/>
    <x v="3"/>
    <x v="1"/>
    <n v="53.23"/>
    <n v="649.19000000000005"/>
    <n v="565.82000000000005"/>
    <n v="217.33"/>
    <n v="30.99"/>
    <x v="2"/>
    <x v="14"/>
    <x v="0"/>
  </r>
  <r>
    <n v="17"/>
    <x v="4"/>
    <x v="3"/>
    <n v="62.49"/>
    <n v="616.58000000000004"/>
    <n v="582.26"/>
    <n v="272.89999999999998"/>
    <n v="32.4"/>
    <x v="0"/>
    <x v="15"/>
    <x v="0"/>
  </r>
  <r>
    <n v="18"/>
    <x v="1"/>
    <x v="1"/>
    <n v="54.91"/>
    <n v="479.55"/>
    <n v="630.16999999999996"/>
    <n v="125.19"/>
    <n v="29.65"/>
    <x v="2"/>
    <x v="16"/>
    <x v="0"/>
  </r>
  <r>
    <n v="19"/>
    <x v="4"/>
    <x v="4"/>
    <n v="39.69"/>
    <n v="486.47"/>
    <n v="709.13"/>
    <n v="203.85"/>
    <n v="24.33"/>
    <x v="0"/>
    <x v="17"/>
    <x v="0"/>
  </r>
  <r>
    <n v="20"/>
    <x v="0"/>
    <x v="0"/>
    <n v="49.5"/>
    <n v="600.36"/>
    <n v="577.19000000000005"/>
    <n v="206.2"/>
    <n v="29.24"/>
    <x v="0"/>
    <x v="18"/>
    <x v="0"/>
  </r>
  <r>
    <n v="21"/>
    <x v="4"/>
    <x v="0"/>
    <n v="53.75"/>
    <n v="733.32"/>
    <n v="453.99"/>
    <n v="136.28"/>
    <n v="32.619999999999997"/>
    <x v="2"/>
    <x v="19"/>
    <x v="0"/>
  </r>
  <r>
    <n v="22"/>
    <x v="4"/>
    <x v="0"/>
    <n v="42.43"/>
    <n v="519.23"/>
    <n v="583.12"/>
    <n v="218.98"/>
    <n v="29.36"/>
    <x v="2"/>
    <x v="20"/>
    <x v="0"/>
  </r>
  <r>
    <n v="23"/>
    <x v="4"/>
    <x v="0"/>
    <n v="36.42"/>
    <n v="695.71"/>
    <n v="536.01"/>
    <n v="255.81"/>
    <n v="34"/>
    <x v="0"/>
    <x v="21"/>
    <x v="0"/>
  </r>
  <r>
    <n v="24"/>
    <x v="0"/>
    <x v="1"/>
    <n v="46.84"/>
    <n v="475.86"/>
    <n v="540.76"/>
    <n v="275.39999999999998"/>
    <n v="28.04"/>
    <x v="0"/>
    <x v="22"/>
    <x v="0"/>
  </r>
  <r>
    <n v="25"/>
    <x v="1"/>
    <x v="0"/>
    <n v="42.59"/>
    <n v="595.20000000000005"/>
    <n v="501.27"/>
    <n v="187.53"/>
    <n v="28.37"/>
    <x v="0"/>
    <x v="23"/>
    <x v="0"/>
  </r>
  <r>
    <n v="27"/>
    <x v="0"/>
    <x v="2"/>
    <n v="34.090000000000003"/>
    <n v="459"/>
    <n v="356.63"/>
    <n v="97.1"/>
    <n v="31.11"/>
    <x v="1"/>
    <x v="24"/>
    <x v="0"/>
  </r>
  <r>
    <n v="28"/>
    <x v="4"/>
    <x v="2"/>
    <n v="55.65"/>
    <n v="425.29"/>
    <n v="468.35"/>
    <n v="217.81"/>
    <n v="27.94"/>
    <x v="1"/>
    <x v="25"/>
    <x v="0"/>
  </r>
  <r>
    <n v="29"/>
    <x v="4"/>
    <x v="1"/>
    <n v="43.65"/>
    <n v="614.54"/>
    <n v="497.87"/>
    <n v="129.38999999999999"/>
    <n v="35.17"/>
    <x v="2"/>
    <x v="26"/>
    <x v="0"/>
  </r>
  <r>
    <n v="30"/>
    <x v="1"/>
    <x v="0"/>
    <n v="59.96"/>
    <n v="446.84"/>
    <n v="398.47"/>
    <n v="204.51"/>
    <n v="26.56"/>
    <x v="2"/>
    <x v="27"/>
    <x v="0"/>
  </r>
  <r>
    <n v="31"/>
    <x v="0"/>
    <x v="0"/>
    <n v="47.23"/>
    <n v="410.57"/>
    <n v="530.79999999999995"/>
    <n v="173.9"/>
    <n v="26.37"/>
    <x v="2"/>
    <x v="28"/>
    <x v="0"/>
  </r>
  <r>
    <n v="32"/>
    <x v="1"/>
    <x v="0"/>
    <n v="49.75"/>
    <n v="431.6"/>
    <n v="729.69"/>
    <n v="225.34"/>
    <n v="15.85"/>
    <x v="1"/>
    <x v="29"/>
    <x v="0"/>
  </r>
  <r>
    <n v="33"/>
    <x v="1"/>
    <x v="1"/>
    <n v="48.27"/>
    <n v="446.44"/>
    <n v="270.68"/>
    <n v="193.66"/>
    <n v="27.23"/>
    <x v="0"/>
    <x v="30"/>
    <x v="0"/>
  </r>
  <r>
    <n v="34"/>
    <x v="3"/>
    <x v="3"/>
    <n v="43.12"/>
    <n v="585.66"/>
    <n v="549.87"/>
    <n v="158.69999999999999"/>
    <n v="36.54"/>
    <x v="0"/>
    <x v="31"/>
    <x v="0"/>
  </r>
  <r>
    <n v="35"/>
    <x v="3"/>
    <x v="1"/>
    <n v="74.72"/>
    <n v="551.5"/>
    <n v="472.08"/>
    <n v="161.99"/>
    <n v="19.64"/>
    <x v="2"/>
    <x v="32"/>
    <x v="0"/>
  </r>
  <r>
    <n v="36"/>
    <x v="2"/>
    <x v="3"/>
    <n v="45.04"/>
    <n v="571.57000000000005"/>
    <n v="534.08000000000004"/>
    <n v="296.62"/>
    <n v="25.24"/>
    <x v="1"/>
    <x v="33"/>
    <x v="0"/>
  </r>
  <r>
    <n v="37"/>
    <x v="4"/>
    <x v="0"/>
    <n v="60.24"/>
    <n v="542.14"/>
    <n v="428.31"/>
    <n v="222.18"/>
    <n v="32.200000000000003"/>
    <x v="2"/>
    <x v="34"/>
    <x v="1"/>
  </r>
  <r>
    <n v="39"/>
    <x v="0"/>
    <x v="1"/>
    <n v="53.72"/>
    <n v="569.71"/>
    <n v="495.54"/>
    <n v="227.54"/>
    <n v="27.45"/>
    <x v="0"/>
    <x v="35"/>
    <x v="0"/>
  </r>
  <r>
    <n v="40"/>
    <x v="2"/>
    <x v="1"/>
    <n v="54.79"/>
    <n v="618.25"/>
    <n v="443.8"/>
    <n v="190.27"/>
    <n v="35.700000000000003"/>
    <x v="2"/>
    <x v="36"/>
    <x v="0"/>
  </r>
  <r>
    <n v="41"/>
    <x v="4"/>
    <x v="3"/>
    <n v="49.76"/>
    <n v="558.45000000000005"/>
    <n v="297.54000000000002"/>
    <n v="200.23"/>
    <n v="40.22"/>
    <x v="2"/>
    <x v="37"/>
    <x v="0"/>
  </r>
  <r>
    <n v="42"/>
    <x v="4"/>
    <x v="2"/>
    <n v="44.29"/>
    <n v="544.97"/>
    <n v="451.93"/>
    <n v="240.99"/>
    <n v="31.45"/>
    <x v="0"/>
    <x v="38"/>
    <x v="0"/>
  </r>
  <r>
    <n v="43"/>
    <x v="2"/>
    <x v="3"/>
    <n v="47.37"/>
    <n v="423.29"/>
    <n v="310.02999999999997"/>
    <n v="259.16000000000003"/>
    <n v="25.37"/>
    <x v="0"/>
    <x v="39"/>
    <x v="0"/>
  </r>
  <r>
    <n v="44"/>
    <x v="4"/>
    <x v="1"/>
    <n v="45.97"/>
    <n v="521.17999999999995"/>
    <n v="558.38"/>
    <n v="157.06"/>
    <n v="25.2"/>
    <x v="2"/>
    <x v="40"/>
    <x v="0"/>
  </r>
  <r>
    <n v="45"/>
    <x v="3"/>
    <x v="4"/>
    <n v="74.02"/>
    <n v="417.98"/>
    <n v="256.13"/>
    <n v="198.51"/>
    <n v="30.72"/>
    <x v="0"/>
    <x v="41"/>
    <x v="0"/>
  </r>
  <r>
    <n v="46"/>
    <x v="0"/>
    <x v="1"/>
    <n v="49.77"/>
    <n v="497.6"/>
    <n v="603.44000000000005"/>
    <n v="172.69"/>
    <n v="31.4"/>
    <x v="0"/>
    <x v="42"/>
    <x v="0"/>
  </r>
  <r>
    <n v="47"/>
    <x v="2"/>
    <x v="4"/>
    <n v="55.25"/>
    <n v="335.97"/>
    <n v="531.54999999999995"/>
    <n v="229.84"/>
    <n v="39.29"/>
    <x v="2"/>
    <x v="43"/>
    <x v="0"/>
  </r>
  <r>
    <n v="48"/>
    <x v="0"/>
    <x v="1"/>
    <n v="67.819999999999993"/>
    <n v="336.74"/>
    <n v="532.01"/>
    <n v="188.38"/>
    <n v="34.85"/>
    <x v="0"/>
    <x v="44"/>
    <x v="0"/>
  </r>
  <r>
    <n v="49"/>
    <x v="1"/>
    <x v="1"/>
    <n v="41.24"/>
    <n v="480.9"/>
    <n v="220.28"/>
    <n v="201.46"/>
    <n v="30.42"/>
    <x v="0"/>
    <x v="45"/>
    <x v="0"/>
  </r>
  <r>
    <n v="50"/>
    <x v="3"/>
    <x v="1"/>
    <n v="50.38"/>
    <n v="445.16"/>
    <n v="440.57"/>
    <n v="186.49"/>
    <n v="28.32"/>
    <x v="2"/>
    <x v="46"/>
    <x v="0"/>
  </r>
  <r>
    <n v="51"/>
    <x v="1"/>
    <x v="2"/>
    <n v="47.31"/>
    <n v="510.68"/>
    <n v="618.42999999999995"/>
    <n v="194.69"/>
    <n v="45.07"/>
    <x v="0"/>
    <x v="47"/>
    <x v="0"/>
  </r>
  <r>
    <n v="52"/>
    <x v="3"/>
    <x v="3"/>
    <n v="49.14"/>
    <n v="486.52"/>
    <n v="417.77"/>
    <n v="285.23"/>
    <n v="33.130000000000003"/>
    <x v="1"/>
    <x v="48"/>
    <x v="0"/>
  </r>
  <r>
    <n v="53"/>
    <x v="2"/>
    <x v="4"/>
    <n v="48.21"/>
    <n v="503.02"/>
    <n v="350.63"/>
    <n v="319.54000000000002"/>
    <n v="26.66"/>
    <x v="2"/>
    <x v="49"/>
    <x v="0"/>
  </r>
  <r>
    <n v="55"/>
    <x v="1"/>
    <x v="1"/>
    <n v="51.95"/>
    <n v="453.67"/>
    <n v="471.81"/>
    <n v="195"/>
    <n v="25.61"/>
    <x v="0"/>
    <x v="50"/>
    <x v="0"/>
  </r>
  <r>
    <n v="56"/>
    <x v="2"/>
    <x v="4"/>
    <n v="39.369999999999997"/>
    <n v="478.06"/>
    <n v="377.84"/>
    <n v="120.22"/>
    <n v="17.98"/>
    <x v="2"/>
    <x v="51"/>
    <x v="0"/>
  </r>
  <r>
    <n v="57"/>
    <x v="4"/>
    <x v="3"/>
    <n v="59.89"/>
    <n v="645.5"/>
    <n v="628.05999999999995"/>
    <n v="161.97999999999999"/>
    <n v="31.56"/>
    <x v="2"/>
    <x v="52"/>
    <x v="0"/>
  </r>
  <r>
    <n v="59"/>
    <x v="1"/>
    <x v="0"/>
    <n v="45.07"/>
    <n v="482.08"/>
    <n v="413.33"/>
    <n v="164.25"/>
    <n v="21.85"/>
    <x v="2"/>
    <x v="53"/>
    <x v="0"/>
  </r>
  <r>
    <n v="60"/>
    <x v="0"/>
    <x v="1"/>
    <n v="45.55"/>
    <n v="508.25"/>
    <n v="323.83999999999997"/>
    <n v="169.5"/>
    <n v="30.28"/>
    <x v="2"/>
    <x v="54"/>
    <x v="0"/>
  </r>
  <r>
    <n v="61"/>
    <x v="4"/>
    <x v="3"/>
    <n v="52.76"/>
    <n v="483.86"/>
    <n v="538.13"/>
    <n v="278.77"/>
    <n v="26.47"/>
    <x v="2"/>
    <x v="55"/>
    <x v="0"/>
  </r>
  <r>
    <n v="62"/>
    <x v="4"/>
    <x v="1"/>
    <n v="42.01"/>
    <n v="429.04"/>
    <n v="535.4"/>
    <n v="201.44"/>
    <n v="32.61"/>
    <x v="2"/>
    <x v="56"/>
    <x v="0"/>
  </r>
  <r>
    <n v="63"/>
    <x v="4"/>
    <x v="1"/>
    <n v="68.12"/>
    <n v="400.2"/>
    <n v="384.93"/>
    <n v="205.91"/>
    <n v="29.14"/>
    <x v="2"/>
    <x v="57"/>
    <x v="0"/>
  </r>
  <r>
    <n v="64"/>
    <x v="1"/>
    <x v="4"/>
    <n v="136.79"/>
    <n v="423.66"/>
    <n v="211.64"/>
    <n v="166.29"/>
    <n v="23.2"/>
    <x v="0"/>
    <x v="58"/>
    <x v="0"/>
  </r>
  <r>
    <n v="65"/>
    <x v="4"/>
    <x v="4"/>
    <n v="53.93"/>
    <n v="587.29"/>
    <n v="529.29"/>
    <n v="258.88"/>
    <n v="25.09"/>
    <x v="2"/>
    <x v="59"/>
    <x v="0"/>
  </r>
  <r>
    <n v="66"/>
    <x v="1"/>
    <x v="0"/>
    <n v="284.07"/>
    <n v="1748.04"/>
    <n v="457.58"/>
    <n v="189.37"/>
    <n v="25.85"/>
    <x v="1"/>
    <x v="60"/>
    <x v="0"/>
  </r>
  <r>
    <n v="67"/>
    <x v="4"/>
    <x v="1"/>
    <n v="44.21"/>
    <n v="484.51"/>
    <n v="520.33000000000004"/>
    <n v="173.96"/>
    <n v="36.72"/>
    <x v="0"/>
    <x v="61"/>
    <x v="0"/>
  </r>
  <r>
    <n v="68"/>
    <x v="0"/>
    <x v="1"/>
    <n v="60.89"/>
    <n v="570.07000000000005"/>
    <n v="714.86"/>
    <n v="120.96"/>
    <n v="36.47"/>
    <x v="1"/>
    <x v="62"/>
    <x v="0"/>
  </r>
  <r>
    <n v="69"/>
    <x v="0"/>
    <x v="3"/>
    <n v="51.15"/>
    <n v="472.16"/>
    <n v="476.78"/>
    <n v="196.94"/>
    <n v="28.44"/>
    <x v="2"/>
    <x v="63"/>
    <x v="0"/>
  </r>
  <r>
    <n v="70"/>
    <x v="2"/>
    <x v="2"/>
    <n v="59.5"/>
    <n v="563.34"/>
    <n v="418.34"/>
    <n v="172.4"/>
    <n v="36.14"/>
    <x v="2"/>
    <x v="64"/>
    <x v="0"/>
  </r>
  <r>
    <n v="71"/>
    <x v="0"/>
    <x v="1"/>
    <n v="48.02"/>
    <n v="345.92"/>
    <n v="342.32"/>
    <n v="284.23"/>
    <n v="29.13"/>
    <x v="2"/>
    <x v="65"/>
    <x v="0"/>
  </r>
  <r>
    <n v="72"/>
    <x v="2"/>
    <x v="1"/>
    <n v="63.17"/>
    <n v="486.75"/>
    <n v="442.51"/>
    <n v="292.19"/>
    <n v="28.37"/>
    <x v="0"/>
    <x v="66"/>
    <x v="0"/>
  </r>
  <r>
    <n v="73"/>
    <x v="0"/>
    <x v="0"/>
    <n v="54.01"/>
    <n v="507.89"/>
    <n v="499.27"/>
    <n v="138.24"/>
    <n v="30.29"/>
    <x v="2"/>
    <x v="67"/>
    <x v="0"/>
  </r>
  <r>
    <n v="75"/>
    <x v="2"/>
    <x v="2"/>
    <n v="46.3"/>
    <n v="334.71"/>
    <n v="686.82"/>
    <n v="186.18"/>
    <n v="27.22"/>
    <x v="2"/>
    <x v="68"/>
    <x v="0"/>
  </r>
  <r>
    <n v="76"/>
    <x v="3"/>
    <x v="4"/>
    <n v="52.05"/>
    <n v="620.30999999999995"/>
    <n v="539.89"/>
    <n v="159.19999999999999"/>
    <n v="30.11"/>
    <x v="0"/>
    <x v="34"/>
    <x v="1"/>
  </r>
  <r>
    <n v="77"/>
    <x v="4"/>
    <x v="4"/>
    <n v="39.68"/>
    <n v="414.53"/>
    <n v="463.82"/>
    <n v="210.87"/>
    <n v="33.94"/>
    <x v="2"/>
    <x v="69"/>
    <x v="0"/>
  </r>
  <r>
    <n v="78"/>
    <x v="1"/>
    <x v="3"/>
    <n v="44.71"/>
    <n v="533.5"/>
    <n v="395.21"/>
    <n v="183.67"/>
    <n v="30.65"/>
    <x v="0"/>
    <x v="70"/>
    <x v="0"/>
  </r>
  <r>
    <n v="79"/>
    <x v="0"/>
    <x v="2"/>
    <n v="56.19"/>
    <n v="500.8"/>
    <n v="512"/>
    <n v="214.03"/>
    <n v="30.21"/>
    <x v="2"/>
    <x v="71"/>
    <x v="0"/>
  </r>
  <r>
    <n v="81"/>
    <x v="0"/>
    <x v="3"/>
    <n v="79.650000000000006"/>
    <n v="718.75"/>
    <n v="501.58"/>
    <n v="146.79"/>
    <n v="33.33"/>
    <x v="1"/>
    <x v="72"/>
    <x v="0"/>
  </r>
  <r>
    <n v="82"/>
    <x v="4"/>
    <x v="1"/>
    <n v="49.03"/>
    <n v="370.96"/>
    <n v="538.49"/>
    <n v="249.76"/>
    <n v="29.69"/>
    <x v="2"/>
    <x v="73"/>
    <x v="0"/>
  </r>
  <r>
    <n v="83"/>
    <x v="4"/>
    <x v="3"/>
    <n v="203.34"/>
    <n v="1740.43"/>
    <n v="454.03"/>
    <n v="163.57"/>
    <n v="27.63"/>
    <x v="0"/>
    <x v="74"/>
    <x v="0"/>
  </r>
  <r>
    <n v="85"/>
    <x v="4"/>
    <x v="0"/>
    <n v="38.72"/>
    <n v="389.46"/>
    <n v="217.76"/>
    <n v="281.05"/>
    <n v="22.03"/>
    <x v="0"/>
    <x v="75"/>
    <x v="0"/>
  </r>
  <r>
    <n v="86"/>
    <x v="4"/>
    <x v="0"/>
    <n v="55.64"/>
    <n v="578.22"/>
    <n v="617.26"/>
    <n v="194.35"/>
    <n v="28.95"/>
    <x v="1"/>
    <x v="76"/>
    <x v="0"/>
  </r>
  <r>
    <n v="87"/>
    <x v="0"/>
    <x v="0"/>
    <n v="44.98"/>
    <n v="584.34"/>
    <n v="528.4"/>
    <n v="151.82"/>
    <n v="17.64"/>
    <x v="2"/>
    <x v="77"/>
    <x v="0"/>
  </r>
  <r>
    <n v="88"/>
    <x v="4"/>
    <x v="4"/>
    <n v="52.12"/>
    <n v="555.94000000000005"/>
    <n v="531.30999999999995"/>
    <n v="142.26"/>
    <n v="21.62"/>
    <x v="0"/>
    <x v="78"/>
    <x v="0"/>
  </r>
  <r>
    <n v="89"/>
    <x v="1"/>
    <x v="0"/>
    <n v="60.91"/>
    <n v="523.66"/>
    <n v="292.64"/>
    <n v="243.68"/>
    <n v="20.87"/>
    <x v="0"/>
    <x v="79"/>
    <x v="0"/>
  </r>
  <r>
    <n v="90"/>
    <x v="2"/>
    <x v="2"/>
    <n v="48.89"/>
    <n v="636.97"/>
    <n v="645.58000000000004"/>
    <n v="198.48"/>
    <n v="35.24"/>
    <x v="1"/>
    <x v="80"/>
    <x v="0"/>
  </r>
  <r>
    <n v="91"/>
    <x v="4"/>
    <x v="1"/>
    <n v="59.33"/>
    <n v="384.44"/>
    <n v="424.17"/>
    <n v="246.34"/>
    <n v="30.07"/>
    <x v="2"/>
    <x v="81"/>
    <x v="0"/>
  </r>
  <r>
    <n v="92"/>
    <x v="4"/>
    <x v="3"/>
    <n v="58.73"/>
    <n v="506.53"/>
    <n v="445.34"/>
    <n v="310.20999999999998"/>
    <n v="23.69"/>
    <x v="0"/>
    <x v="82"/>
    <x v="0"/>
  </r>
  <r>
    <n v="93"/>
    <x v="0"/>
    <x v="3"/>
    <n v="31.36"/>
    <n v="426.12"/>
    <n v="351.69"/>
    <n v="161.47999999999999"/>
    <n v="32.46"/>
    <x v="1"/>
    <x v="83"/>
    <x v="0"/>
  </r>
  <r>
    <n v="94"/>
    <x v="4"/>
    <x v="4"/>
    <n v="40.98"/>
    <n v="588.99"/>
    <n v="265.57"/>
    <n v="138.49"/>
    <n v="34.94"/>
    <x v="2"/>
    <x v="84"/>
    <x v="0"/>
  </r>
  <r>
    <n v="96"/>
    <x v="4"/>
    <x v="0"/>
    <n v="70.02"/>
    <n v="497.19"/>
    <n v="634.39"/>
    <n v="257.24"/>
    <n v="29.06"/>
    <x v="2"/>
    <x v="85"/>
    <x v="0"/>
  </r>
  <r>
    <n v="97"/>
    <x v="0"/>
    <x v="1"/>
    <n v="48.95"/>
    <n v="533.52"/>
    <n v="460.14"/>
    <n v="152.97999999999999"/>
    <n v="31.16"/>
    <x v="1"/>
    <x v="86"/>
    <x v="0"/>
  </r>
  <r>
    <n v="98"/>
    <x v="4"/>
    <x v="1"/>
    <n v="67.81"/>
    <n v="405.25"/>
    <n v="398.47"/>
    <n v="201.73"/>
    <n v="34.51"/>
    <x v="2"/>
    <x v="87"/>
    <x v="0"/>
  </r>
  <r>
    <n v="99"/>
    <x v="2"/>
    <x v="2"/>
    <n v="33.67"/>
    <n v="437.38"/>
    <n v="434.75"/>
    <n v="268.5"/>
    <n v="27.65"/>
    <x v="2"/>
    <x v="88"/>
    <x v="0"/>
  </r>
  <r>
    <n v="100"/>
    <x v="2"/>
    <x v="3"/>
    <n v="44.27"/>
    <n v="501.54"/>
    <n v="438.05"/>
    <n v="118.36"/>
    <n v="30.15"/>
    <x v="0"/>
    <x v="89"/>
    <x v="0"/>
  </r>
  <r>
    <n v="101"/>
    <x v="4"/>
    <x v="1"/>
    <n v="58"/>
    <n v="595.51"/>
    <n v="336.02"/>
    <n v="211.77"/>
    <n v="28.71"/>
    <x v="1"/>
    <x v="90"/>
    <x v="0"/>
  </r>
  <r>
    <n v="102"/>
    <x v="2"/>
    <x v="1"/>
    <n v="51.79"/>
    <n v="396.71"/>
    <n v="444.93"/>
    <n v="172.99"/>
    <n v="21.93"/>
    <x v="0"/>
    <x v="91"/>
    <x v="0"/>
  </r>
  <r>
    <n v="103"/>
    <x v="0"/>
    <x v="4"/>
    <n v="55.33"/>
    <n v="414.16"/>
    <n v="498.37"/>
    <n v="206.21"/>
    <n v="34.58"/>
    <x v="2"/>
    <x v="92"/>
    <x v="0"/>
  </r>
  <r>
    <n v="104"/>
    <x v="1"/>
    <x v="3"/>
    <n v="37.46"/>
    <n v="612.55999999999995"/>
    <n v="602.17999999999995"/>
    <n v="235.49"/>
    <n v="40.29"/>
    <x v="1"/>
    <x v="93"/>
    <x v="0"/>
  </r>
  <r>
    <n v="105"/>
    <x v="4"/>
    <x v="4"/>
    <n v="63.77"/>
    <n v="472.7"/>
    <n v="481.71"/>
    <n v="211.04"/>
    <n v="25.63"/>
    <x v="2"/>
    <x v="94"/>
    <x v="0"/>
  </r>
  <r>
    <n v="106"/>
    <x v="1"/>
    <x v="2"/>
    <n v="57.77"/>
    <n v="422.25"/>
    <n v="290.83999999999997"/>
    <n v="149.49"/>
    <n v="34.81"/>
    <x v="2"/>
    <x v="95"/>
    <x v="0"/>
  </r>
  <r>
    <n v="107"/>
    <x v="1"/>
    <x v="1"/>
    <n v="54.02"/>
    <n v="572.87"/>
    <n v="522.42999999999995"/>
    <n v="174.94"/>
    <n v="25.79"/>
    <x v="1"/>
    <x v="96"/>
    <x v="0"/>
  </r>
  <r>
    <n v="108"/>
    <x v="4"/>
    <x v="1"/>
    <n v="43.14"/>
    <n v="451.18"/>
    <n v="449.29"/>
    <n v="271.33"/>
    <n v="30.66"/>
    <x v="1"/>
    <x v="97"/>
    <x v="0"/>
  </r>
  <r>
    <n v="109"/>
    <x v="2"/>
    <x v="1"/>
    <n v="53.24"/>
    <n v="602.74"/>
    <n v="644.45000000000005"/>
    <n v="216.45"/>
    <n v="37.54"/>
    <x v="0"/>
    <x v="98"/>
    <x v="0"/>
  </r>
  <r>
    <n v="110"/>
    <x v="1"/>
    <x v="2"/>
    <n v="47.09"/>
    <n v="433.63"/>
    <n v="651.53"/>
    <n v="242.02"/>
    <n v="27.4"/>
    <x v="2"/>
    <x v="99"/>
    <x v="0"/>
  </r>
  <r>
    <n v="111"/>
    <x v="4"/>
    <x v="1"/>
    <n v="33.5"/>
    <n v="484.04"/>
    <n v="655.73"/>
    <n v="212.51"/>
    <n v="29.93"/>
    <x v="2"/>
    <x v="100"/>
    <x v="0"/>
  </r>
  <r>
    <n v="112"/>
    <x v="1"/>
    <x v="2"/>
    <n v="49.5"/>
    <n v="594.5"/>
    <n v="412.61"/>
    <n v="240.46"/>
    <n v="20.99"/>
    <x v="2"/>
    <x v="101"/>
    <x v="0"/>
  </r>
  <r>
    <n v="113"/>
    <x v="0"/>
    <x v="3"/>
    <n v="48.43"/>
    <n v="477.37"/>
    <n v="718.78"/>
    <n v="180.19"/>
    <n v="26.68"/>
    <x v="2"/>
    <x v="102"/>
    <x v="0"/>
  </r>
  <r>
    <n v="114"/>
    <x v="0"/>
    <x v="0"/>
    <n v="60.62"/>
    <n v="575.61"/>
    <n v="522.11"/>
    <n v="161.62"/>
    <n v="20.47"/>
    <x v="2"/>
    <x v="103"/>
    <x v="0"/>
  </r>
  <r>
    <n v="115"/>
    <x v="0"/>
    <x v="1"/>
    <n v="27.66"/>
    <n v="493.45"/>
    <n v="675.17"/>
    <n v="238.18"/>
    <n v="32.15"/>
    <x v="0"/>
    <x v="104"/>
    <x v="0"/>
  </r>
  <r>
    <n v="117"/>
    <x v="1"/>
    <x v="3"/>
    <n v="38.44"/>
    <n v="656.88"/>
    <n v="444.17"/>
    <n v="154.29"/>
    <n v="28.89"/>
    <x v="2"/>
    <x v="105"/>
    <x v="0"/>
  </r>
  <r>
    <n v="118"/>
    <x v="1"/>
    <x v="2"/>
    <n v="53.19"/>
    <n v="367.19"/>
    <n v="512.88"/>
    <n v="171.2"/>
    <n v="31.43"/>
    <x v="2"/>
    <x v="106"/>
    <x v="0"/>
  </r>
  <r>
    <n v="120"/>
    <x v="1"/>
    <x v="3"/>
    <n v="49.13"/>
    <n v="418.36"/>
    <n v="630.58000000000004"/>
    <n v="280.99"/>
    <n v="33.700000000000003"/>
    <x v="0"/>
    <x v="107"/>
    <x v="0"/>
  </r>
  <r>
    <n v="121"/>
    <x v="1"/>
    <x v="1"/>
    <n v="58.07"/>
    <n v="519.15"/>
    <n v="452.14"/>
    <n v="228.16"/>
    <n v="30.65"/>
    <x v="1"/>
    <x v="108"/>
    <x v="0"/>
  </r>
  <r>
    <n v="122"/>
    <x v="1"/>
    <x v="2"/>
    <n v="37.54"/>
    <n v="506.84"/>
    <n v="619.75"/>
    <n v="133.80000000000001"/>
    <n v="20.07"/>
    <x v="2"/>
    <x v="109"/>
    <x v="0"/>
  </r>
  <r>
    <n v="123"/>
    <x v="2"/>
    <x v="0"/>
    <n v="416.37"/>
    <n v="1577.85"/>
    <n v="567.87"/>
    <n v="195.35"/>
    <n v="34.700000000000003"/>
    <x v="0"/>
    <x v="110"/>
    <x v="0"/>
  </r>
  <r>
    <n v="124"/>
    <x v="1"/>
    <x v="3"/>
    <n v="42.92"/>
    <n v="605.85"/>
    <n v="454.39"/>
    <n v="187.71"/>
    <n v="28.05"/>
    <x v="1"/>
    <x v="111"/>
    <x v="0"/>
  </r>
  <r>
    <n v="125"/>
    <x v="1"/>
    <x v="1"/>
    <n v="34.44"/>
    <n v="520.33000000000004"/>
    <n v="558.55999999999995"/>
    <n v="141.34"/>
    <n v="23.65"/>
    <x v="2"/>
    <x v="112"/>
    <x v="0"/>
  </r>
  <r>
    <n v="126"/>
    <x v="0"/>
    <x v="1"/>
    <n v="47.28"/>
    <n v="471.53"/>
    <n v="423.21"/>
    <n v="194.76"/>
    <n v="27.81"/>
    <x v="0"/>
    <x v="113"/>
    <x v="0"/>
  </r>
  <r>
    <n v="127"/>
    <x v="2"/>
    <x v="4"/>
    <n v="29.05"/>
    <n v="456.19"/>
    <n v="762.02"/>
    <n v="185.5"/>
    <n v="20.49"/>
    <x v="2"/>
    <x v="114"/>
    <x v="0"/>
  </r>
  <r>
    <n v="128"/>
    <x v="3"/>
    <x v="2"/>
    <n v="52.54"/>
    <n v="513.98"/>
    <n v="160.28"/>
    <n v="181.92"/>
    <n v="23.75"/>
    <x v="1"/>
    <x v="115"/>
    <x v="0"/>
  </r>
  <r>
    <n v="129"/>
    <x v="3"/>
    <x v="3"/>
    <n v="47.41"/>
    <n v="540.79"/>
    <n v="560.75"/>
    <n v="179.63"/>
    <n v="30.71"/>
    <x v="2"/>
    <x v="116"/>
    <x v="0"/>
  </r>
  <r>
    <n v="130"/>
    <x v="1"/>
    <x v="3"/>
    <n v="62.34"/>
    <n v="487.5"/>
    <n v="268.25"/>
    <n v="273.57"/>
    <n v="31.13"/>
    <x v="0"/>
    <x v="117"/>
    <x v="0"/>
  </r>
  <r>
    <n v="131"/>
    <x v="3"/>
    <x v="0"/>
    <n v="56.49"/>
    <n v="216.75"/>
    <n v="452.92"/>
    <n v="181.81"/>
    <n v="31.53"/>
    <x v="1"/>
    <x v="118"/>
    <x v="0"/>
  </r>
  <r>
    <n v="133"/>
    <x v="1"/>
    <x v="1"/>
    <n v="41.62"/>
    <n v="355.85"/>
    <n v="660.92"/>
    <n v="197.06"/>
    <n v="26.54"/>
    <x v="2"/>
    <x v="119"/>
    <x v="0"/>
  </r>
  <r>
    <n v="134"/>
    <x v="3"/>
    <x v="4"/>
    <n v="55.21"/>
    <n v="479.05"/>
    <n v="396.94"/>
    <n v="174.75"/>
    <n v="29.73"/>
    <x v="0"/>
    <x v="120"/>
    <x v="0"/>
  </r>
  <r>
    <n v="135"/>
    <x v="1"/>
    <x v="1"/>
    <n v="58.47"/>
    <n v="359.54"/>
    <n v="636.96"/>
    <n v="203.98"/>
    <n v="27.81"/>
    <x v="2"/>
    <x v="121"/>
    <x v="0"/>
  </r>
  <r>
    <n v="136"/>
    <x v="4"/>
    <x v="1"/>
    <n v="62.23"/>
    <n v="358.35"/>
    <n v="338.54"/>
    <n v="203.27"/>
    <n v="21.87"/>
    <x v="1"/>
    <x v="122"/>
    <x v="0"/>
  </r>
  <r>
    <n v="137"/>
    <x v="2"/>
    <x v="1"/>
    <n v="62.15"/>
    <n v="623.51"/>
    <n v="641.6"/>
    <n v="203.99"/>
    <n v="26.14"/>
    <x v="2"/>
    <x v="123"/>
    <x v="0"/>
  </r>
  <r>
    <n v="138"/>
    <x v="4"/>
    <x v="1"/>
    <n v="49.1"/>
    <n v="467.99"/>
    <n v="423.08"/>
    <n v="157.04"/>
    <n v="34.450000000000003"/>
    <x v="0"/>
    <x v="124"/>
    <x v="0"/>
  </r>
  <r>
    <n v="139"/>
    <x v="1"/>
    <x v="4"/>
    <n v="53.63"/>
    <n v="460.33"/>
    <n v="488.81"/>
    <n v="189.69"/>
    <n v="37.94"/>
    <x v="1"/>
    <x v="125"/>
    <x v="0"/>
  </r>
  <r>
    <n v="140"/>
    <x v="0"/>
    <x v="1"/>
    <n v="62.99"/>
    <n v="548.25"/>
    <n v="439.63"/>
    <n v="238.02"/>
    <n v="33.26"/>
    <x v="1"/>
    <x v="126"/>
    <x v="0"/>
  </r>
  <r>
    <n v="141"/>
    <x v="2"/>
    <x v="4"/>
    <n v="46.97"/>
    <n v="462.94"/>
    <n v="633.88"/>
    <n v="191.01"/>
    <n v="37.72"/>
    <x v="2"/>
    <x v="127"/>
    <x v="0"/>
  </r>
  <r>
    <n v="142"/>
    <x v="1"/>
    <x v="4"/>
    <n v="53.8"/>
    <n v="710.38"/>
    <n v="610.53"/>
    <n v="208.09"/>
    <n v="30.43"/>
    <x v="0"/>
    <x v="128"/>
    <x v="0"/>
  </r>
  <r>
    <n v="143"/>
    <x v="0"/>
    <x v="2"/>
    <n v="46.73"/>
    <n v="472.7"/>
    <n v="533.22"/>
    <n v="208.35"/>
    <n v="38.71"/>
    <x v="2"/>
    <x v="129"/>
    <x v="0"/>
  </r>
  <r>
    <n v="144"/>
    <x v="4"/>
    <x v="4"/>
    <n v="44.49"/>
    <n v="536.51"/>
    <n v="341.78"/>
    <n v="220.87"/>
    <n v="40.270000000000003"/>
    <x v="2"/>
    <x v="130"/>
    <x v="0"/>
  </r>
  <r>
    <n v="145"/>
    <x v="1"/>
    <x v="0"/>
    <n v="50.48"/>
    <n v="597.09"/>
    <n v="394.2"/>
    <n v="227.93"/>
    <n v="21.33"/>
    <x v="0"/>
    <x v="131"/>
    <x v="0"/>
  </r>
  <r>
    <n v="146"/>
    <x v="2"/>
    <x v="4"/>
    <n v="43.12"/>
    <n v="660.23"/>
    <n v="356.57"/>
    <n v="191.29"/>
    <n v="31.11"/>
    <x v="0"/>
    <x v="132"/>
    <x v="0"/>
  </r>
  <r>
    <n v="147"/>
    <x v="2"/>
    <x v="4"/>
    <n v="48.69"/>
    <n v="425.8"/>
    <n v="210.22"/>
    <n v="154.43"/>
    <n v="30.43"/>
    <x v="0"/>
    <x v="133"/>
    <x v="0"/>
  </r>
  <r>
    <n v="148"/>
    <x v="4"/>
    <x v="4"/>
    <n v="198.25"/>
    <n v="1832.81"/>
    <n v="631.36"/>
    <n v="139.06"/>
    <n v="27.88"/>
    <x v="1"/>
    <x v="134"/>
    <x v="0"/>
  </r>
  <r>
    <n v="149"/>
    <x v="1"/>
    <x v="1"/>
    <n v="48.1"/>
    <n v="627.46"/>
    <n v="440.66"/>
    <n v="250.88"/>
    <n v="32.46"/>
    <x v="1"/>
    <x v="135"/>
    <x v="0"/>
  </r>
  <r>
    <n v="150"/>
    <x v="3"/>
    <x v="0"/>
    <n v="54.48"/>
    <n v="581.01"/>
    <n v="439.38"/>
    <n v="238.51"/>
    <n v="30.21"/>
    <x v="2"/>
    <x v="136"/>
    <x v="0"/>
  </r>
  <r>
    <n v="151"/>
    <x v="0"/>
    <x v="0"/>
    <n v="44.11"/>
    <n v="607.52"/>
    <n v="659.53"/>
    <n v="232.47"/>
    <n v="26.32"/>
    <x v="1"/>
    <x v="137"/>
    <x v="0"/>
  </r>
  <r>
    <n v="152"/>
    <x v="4"/>
    <x v="1"/>
    <n v="50.09"/>
    <n v="363.13"/>
    <n v="422.88"/>
    <n v="240.56"/>
    <n v="29.87"/>
    <x v="2"/>
    <x v="138"/>
    <x v="0"/>
  </r>
  <r>
    <n v="153"/>
    <x v="3"/>
    <x v="2"/>
    <n v="51.39"/>
    <n v="654.79999999999995"/>
    <n v="379.14"/>
    <n v="191.92"/>
    <n v="36.020000000000003"/>
    <x v="2"/>
    <x v="139"/>
    <x v="0"/>
  </r>
  <r>
    <n v="154"/>
    <x v="3"/>
    <x v="4"/>
    <n v="54.53"/>
    <n v="423.86"/>
    <n v="453.03"/>
    <n v="168.76"/>
    <n v="30.91"/>
    <x v="2"/>
    <x v="140"/>
    <x v="0"/>
  </r>
  <r>
    <n v="155"/>
    <x v="1"/>
    <x v="3"/>
    <n v="48.66"/>
    <n v="519.23"/>
    <n v="344.08"/>
    <n v="150.97999999999999"/>
    <n v="33.130000000000003"/>
    <x v="0"/>
    <x v="141"/>
    <x v="0"/>
  </r>
  <r>
    <n v="156"/>
    <x v="3"/>
    <x v="2"/>
    <n v="60.86"/>
    <n v="485.18"/>
    <n v="521.32000000000005"/>
    <n v="145.53"/>
    <n v="28.61"/>
    <x v="0"/>
    <x v="142"/>
    <x v="0"/>
  </r>
  <r>
    <n v="157"/>
    <x v="1"/>
    <x v="2"/>
    <n v="28.99"/>
    <n v="412.15"/>
    <n v="435.16"/>
    <n v="260.61"/>
    <n v="32.26"/>
    <x v="1"/>
    <x v="143"/>
    <x v="0"/>
  </r>
  <r>
    <n v="158"/>
    <x v="2"/>
    <x v="0"/>
    <n v="79.38"/>
    <n v="358.75"/>
    <n v="419.13"/>
    <n v="175.34"/>
    <n v="23.95"/>
    <x v="1"/>
    <x v="144"/>
    <x v="0"/>
  </r>
  <r>
    <n v="160"/>
    <x v="3"/>
    <x v="4"/>
    <n v="54.03"/>
    <n v="511.9"/>
    <n v="467.25"/>
    <n v="190.66"/>
    <n v="29.49"/>
    <x v="2"/>
    <x v="145"/>
    <x v="0"/>
  </r>
  <r>
    <n v="161"/>
    <x v="1"/>
    <x v="4"/>
    <n v="40.619999999999997"/>
    <n v="347.47"/>
    <n v="490.02"/>
    <n v="166.19"/>
    <n v="23.62"/>
    <x v="2"/>
    <x v="146"/>
    <x v="0"/>
  </r>
  <r>
    <n v="164"/>
    <x v="2"/>
    <x v="4"/>
    <n v="43.49"/>
    <n v="236.12"/>
    <n v="470.22"/>
    <n v="270.91000000000003"/>
    <n v="30.65"/>
    <x v="2"/>
    <x v="147"/>
    <x v="0"/>
  </r>
  <r>
    <n v="165"/>
    <x v="2"/>
    <x v="0"/>
    <n v="60.73"/>
    <n v="577.9"/>
    <n v="458.11"/>
    <n v="145.79"/>
    <n v="34.03"/>
    <x v="2"/>
    <x v="148"/>
    <x v="0"/>
  </r>
  <r>
    <n v="166"/>
    <x v="4"/>
    <x v="4"/>
    <n v="48.36"/>
    <n v="259.01"/>
    <n v="483.73"/>
    <n v="305.83999999999997"/>
    <n v="27"/>
    <x v="2"/>
    <x v="149"/>
    <x v="0"/>
  </r>
  <r>
    <n v="167"/>
    <x v="2"/>
    <x v="1"/>
    <n v="55.47"/>
    <n v="492.26"/>
    <n v="398.8"/>
    <n v="157.97"/>
    <n v="30.29"/>
    <x v="2"/>
    <x v="150"/>
    <x v="0"/>
  </r>
  <r>
    <n v="168"/>
    <x v="3"/>
    <x v="3"/>
    <n v="40.83"/>
    <n v="501.5"/>
    <n v="600.54999999999995"/>
    <n v="237.5"/>
    <n v="26.64"/>
    <x v="1"/>
    <x v="151"/>
    <x v="0"/>
  </r>
  <r>
    <n v="169"/>
    <x v="1"/>
    <x v="0"/>
    <n v="49.69"/>
    <n v="553.80999999999995"/>
    <n v="491.62"/>
    <n v="192.74"/>
    <n v="33.53"/>
    <x v="0"/>
    <x v="152"/>
    <x v="0"/>
  </r>
  <r>
    <n v="171"/>
    <x v="2"/>
    <x v="0"/>
    <n v="59.63"/>
    <n v="701.79"/>
    <n v="521.33000000000004"/>
    <n v="136.43"/>
    <n v="32.42"/>
    <x v="1"/>
    <x v="153"/>
    <x v="0"/>
  </r>
  <r>
    <n v="172"/>
    <x v="4"/>
    <x v="1"/>
    <n v="53.08"/>
    <n v="521.63"/>
    <n v="471.08"/>
    <n v="195.08"/>
    <n v="35.31"/>
    <x v="1"/>
    <x v="154"/>
    <x v="0"/>
  </r>
  <r>
    <n v="173"/>
    <x v="4"/>
    <x v="2"/>
    <n v="45.51"/>
    <n v="605.36"/>
    <n v="271.94"/>
    <n v="142.09"/>
    <n v="30.16"/>
    <x v="1"/>
    <x v="155"/>
    <x v="0"/>
  </r>
  <r>
    <n v="174"/>
    <x v="0"/>
    <x v="1"/>
    <n v="50.67"/>
    <n v="427.65"/>
    <n v="520.91"/>
    <n v="115.92"/>
    <n v="34.03"/>
    <x v="1"/>
    <x v="156"/>
    <x v="0"/>
  </r>
  <r>
    <n v="175"/>
    <x v="1"/>
    <x v="4"/>
    <n v="51.98"/>
    <n v="512.08000000000004"/>
    <n v="357.66"/>
    <n v="205.98"/>
    <n v="30.38"/>
    <x v="2"/>
    <x v="157"/>
    <x v="0"/>
  </r>
  <r>
    <n v="177"/>
    <x v="2"/>
    <x v="4"/>
    <n v="39.229999999999997"/>
    <n v="476.23"/>
    <n v="450.99"/>
    <n v="284.22000000000003"/>
    <n v="31.23"/>
    <x v="0"/>
    <x v="158"/>
    <x v="0"/>
  </r>
  <r>
    <n v="178"/>
    <x v="2"/>
    <x v="2"/>
    <n v="56.68"/>
    <n v="519.22"/>
    <n v="573.61"/>
    <n v="250"/>
    <n v="25.02"/>
    <x v="0"/>
    <x v="159"/>
    <x v="0"/>
  </r>
  <r>
    <n v="179"/>
    <x v="1"/>
    <x v="0"/>
    <n v="39.1"/>
    <n v="598.09"/>
    <n v="404.37"/>
    <n v="284.87"/>
    <n v="41.7"/>
    <x v="0"/>
    <x v="160"/>
    <x v="0"/>
  </r>
  <r>
    <n v="180"/>
    <x v="0"/>
    <x v="2"/>
    <n v="66.31"/>
    <n v="425.78"/>
    <n v="488.39"/>
    <n v="165.96"/>
    <n v="28.33"/>
    <x v="2"/>
    <x v="161"/>
    <x v="0"/>
  </r>
  <r>
    <n v="181"/>
    <x v="1"/>
    <x v="1"/>
    <n v="42.28"/>
    <n v="283.83999999999997"/>
    <n v="625.23"/>
    <n v="206.81"/>
    <n v="33.229999999999997"/>
    <x v="1"/>
    <x v="162"/>
    <x v="0"/>
  </r>
  <r>
    <n v="182"/>
    <x v="0"/>
    <x v="2"/>
    <n v="52.97"/>
    <n v="525.55999999999995"/>
    <n v="447.72"/>
    <n v="68.97"/>
    <n v="29.94"/>
    <x v="1"/>
    <x v="163"/>
    <x v="0"/>
  </r>
  <r>
    <n v="183"/>
    <x v="4"/>
    <x v="1"/>
    <n v="60.05"/>
    <n v="598.87"/>
    <n v="409.1"/>
    <n v="185.91"/>
    <n v="23.83"/>
    <x v="1"/>
    <x v="164"/>
    <x v="0"/>
  </r>
  <r>
    <n v="184"/>
    <x v="1"/>
    <x v="2"/>
    <n v="47.48"/>
    <n v="364.86"/>
    <n v="558.6"/>
    <n v="204.92"/>
    <n v="20.51"/>
    <x v="2"/>
    <x v="165"/>
    <x v="0"/>
  </r>
  <r>
    <n v="185"/>
    <x v="2"/>
    <x v="1"/>
    <n v="53.41"/>
    <n v="567.02"/>
    <n v="556.28"/>
    <n v="207.7"/>
    <n v="33.75"/>
    <x v="2"/>
    <x v="166"/>
    <x v="0"/>
  </r>
  <r>
    <n v="186"/>
    <x v="2"/>
    <x v="3"/>
    <n v="199.95"/>
    <n v="567.70000000000005"/>
    <n v="414.15"/>
    <n v="197.88"/>
    <n v="37.75"/>
    <x v="2"/>
    <x v="167"/>
    <x v="0"/>
  </r>
  <r>
    <n v="188"/>
    <x v="2"/>
    <x v="4"/>
    <n v="211.01"/>
    <n v="406.37"/>
    <n v="406.8"/>
    <n v="64.34"/>
    <n v="21.72"/>
    <x v="2"/>
    <x v="168"/>
    <x v="0"/>
  </r>
  <r>
    <n v="189"/>
    <x v="3"/>
    <x v="1"/>
    <n v="33.15"/>
    <n v="460.42"/>
    <n v="561.28"/>
    <n v="212.81"/>
    <n v="28.37"/>
    <x v="2"/>
    <x v="169"/>
    <x v="0"/>
  </r>
  <r>
    <n v="190"/>
    <x v="1"/>
    <x v="4"/>
    <n v="40.659999999999997"/>
    <n v="482.04"/>
    <n v="387"/>
    <n v="224.17"/>
    <n v="25.31"/>
    <x v="1"/>
    <x v="34"/>
    <x v="1"/>
  </r>
  <r>
    <n v="191"/>
    <x v="0"/>
    <x v="0"/>
    <n v="60.47"/>
    <n v="425.69"/>
    <n v="478.69"/>
    <n v="266.89999999999998"/>
    <n v="26.75"/>
    <x v="0"/>
    <x v="170"/>
    <x v="0"/>
  </r>
  <r>
    <n v="192"/>
    <x v="1"/>
    <x v="2"/>
    <n v="55.7"/>
    <n v="420.3"/>
    <n v="401.1"/>
    <n v="218.44"/>
    <n v="33.049999999999997"/>
    <x v="2"/>
    <x v="171"/>
    <x v="0"/>
  </r>
  <r>
    <n v="193"/>
    <x v="2"/>
    <x v="1"/>
    <n v="57.21"/>
    <n v="667.15"/>
    <n v="248.14"/>
    <n v="193.46"/>
    <n v="29.75"/>
    <x v="2"/>
    <x v="172"/>
    <x v="0"/>
  </r>
  <r>
    <n v="194"/>
    <x v="3"/>
    <x v="0"/>
    <n v="239.95"/>
    <n v="489.24"/>
    <n v="398.94"/>
    <n v="255.25"/>
    <n v="25.85"/>
    <x v="2"/>
    <x v="173"/>
    <x v="0"/>
  </r>
  <r>
    <n v="195"/>
    <x v="3"/>
    <x v="0"/>
    <n v="62.9"/>
    <n v="430.5"/>
    <n v="560.78"/>
    <n v="82.13"/>
    <n v="32.94"/>
    <x v="0"/>
    <x v="174"/>
    <x v="0"/>
  </r>
  <r>
    <n v="196"/>
    <x v="4"/>
    <x v="1"/>
    <n v="47.39"/>
    <n v="495.88"/>
    <n v="195.57"/>
    <n v="174.25"/>
    <n v="33.33"/>
    <x v="2"/>
    <x v="175"/>
    <x v="0"/>
  </r>
  <r>
    <n v="197"/>
    <x v="0"/>
    <x v="4"/>
    <n v="51.2"/>
    <n v="553.71"/>
    <n v="510.26"/>
    <n v="161.71"/>
    <n v="28.31"/>
    <x v="1"/>
    <x v="176"/>
    <x v="0"/>
  </r>
  <r>
    <n v="198"/>
    <x v="4"/>
    <x v="3"/>
    <n v="39.71"/>
    <n v="505.16"/>
    <n v="337.67"/>
    <n v="198.27"/>
    <n v="30.69"/>
    <x v="0"/>
    <x v="177"/>
    <x v="0"/>
  </r>
  <r>
    <n v="199"/>
    <x v="4"/>
    <x v="3"/>
    <n v="37.22"/>
    <n v="479.43"/>
    <n v="553.01"/>
    <n v="90.07"/>
    <n v="32.6"/>
    <x v="0"/>
    <x v="178"/>
    <x v="0"/>
  </r>
  <r>
    <n v="200"/>
    <x v="1"/>
    <x v="1"/>
    <n v="33.56"/>
    <n v="435"/>
    <n v="565.72"/>
    <n v="265.98"/>
    <n v="32.130000000000003"/>
    <x v="2"/>
    <x v="179"/>
    <x v="0"/>
  </r>
  <r>
    <n v="201"/>
    <x v="4"/>
    <x v="3"/>
    <n v="41.15"/>
    <n v="433.79"/>
    <n v="459.37"/>
    <n v="187.51"/>
    <n v="30.2"/>
    <x v="2"/>
    <x v="180"/>
    <x v="0"/>
  </r>
  <r>
    <n v="202"/>
    <x v="1"/>
    <x v="2"/>
    <n v="65.53"/>
    <n v="440.22"/>
    <n v="459.64"/>
    <n v="215.94"/>
    <n v="37.159999999999997"/>
    <x v="2"/>
    <x v="181"/>
    <x v="0"/>
  </r>
  <r>
    <n v="203"/>
    <x v="1"/>
    <x v="3"/>
    <n v="34.47"/>
    <n v="533.88"/>
    <n v="383.24"/>
    <n v="211.15"/>
    <n v="32.909999999999997"/>
    <x v="0"/>
    <x v="182"/>
    <x v="0"/>
  </r>
  <r>
    <n v="204"/>
    <x v="4"/>
    <x v="1"/>
    <n v="46.96"/>
    <n v="400.58"/>
    <n v="318.52999999999997"/>
    <n v="263.12"/>
    <n v="27.75"/>
    <x v="2"/>
    <x v="183"/>
    <x v="0"/>
  </r>
  <r>
    <n v="205"/>
    <x v="0"/>
    <x v="3"/>
    <n v="37.07"/>
    <n v="539.33000000000004"/>
    <n v="683.77"/>
    <n v="106.9"/>
    <n v="27.78"/>
    <x v="2"/>
    <x v="184"/>
    <x v="0"/>
  </r>
  <r>
    <n v="206"/>
    <x v="0"/>
    <x v="2"/>
    <n v="219.95"/>
    <n v="2565.1999999999998"/>
    <n v="376.19"/>
    <n v="205.62"/>
    <n v="27.21"/>
    <x v="2"/>
    <x v="185"/>
    <x v="0"/>
  </r>
  <r>
    <n v="207"/>
    <x v="0"/>
    <x v="1"/>
    <n v="51.7"/>
    <n v="532.57000000000005"/>
    <n v="668.14"/>
    <n v="257.31"/>
    <n v="33.159999999999997"/>
    <x v="2"/>
    <x v="186"/>
    <x v="0"/>
  </r>
  <r>
    <n v="208"/>
    <x v="0"/>
    <x v="1"/>
    <n v="43"/>
    <n v="463.04"/>
    <n v="376.86"/>
    <n v="195.1"/>
    <n v="26.89"/>
    <x v="2"/>
    <x v="187"/>
    <x v="0"/>
  </r>
  <r>
    <n v="209"/>
    <x v="0"/>
    <x v="1"/>
    <n v="60.9"/>
    <n v="370.19"/>
    <n v="543.02"/>
    <n v="152.44"/>
    <n v="27.88"/>
    <x v="1"/>
    <x v="188"/>
    <x v="0"/>
  </r>
  <r>
    <n v="210"/>
    <x v="4"/>
    <x v="1"/>
    <n v="65.34"/>
    <n v="657.81"/>
    <n v="343.46"/>
    <n v="169.81"/>
    <n v="35.29"/>
    <x v="0"/>
    <x v="189"/>
    <x v="0"/>
  </r>
  <r>
    <n v="212"/>
    <x v="3"/>
    <x v="0"/>
    <n v="43.17"/>
    <n v="584.86"/>
    <n v="440.93"/>
    <n v="163.95"/>
    <n v="35.99"/>
    <x v="2"/>
    <x v="190"/>
    <x v="0"/>
  </r>
  <r>
    <n v="213"/>
    <x v="4"/>
    <x v="4"/>
    <n v="50.59"/>
    <n v="563.85"/>
    <n v="442.5"/>
    <n v="192.36"/>
    <n v="33.99"/>
    <x v="0"/>
    <x v="191"/>
    <x v="0"/>
  </r>
  <r>
    <n v="214"/>
    <x v="2"/>
    <x v="0"/>
    <n v="61.26"/>
    <n v="476.32"/>
    <n v="553.20000000000005"/>
    <n v="275.41000000000003"/>
    <n v="24.12"/>
    <x v="1"/>
    <x v="192"/>
    <x v="0"/>
  </r>
  <r>
    <n v="215"/>
    <x v="0"/>
    <x v="4"/>
    <n v="45.46"/>
    <n v="473.7"/>
    <n v="423.7"/>
    <n v="170.13"/>
    <n v="29.49"/>
    <x v="1"/>
    <x v="193"/>
    <x v="0"/>
  </r>
  <r>
    <n v="216"/>
    <x v="1"/>
    <x v="1"/>
    <n v="49.8"/>
    <n v="316.43"/>
    <n v="308.62"/>
    <n v="175.62"/>
    <n v="34.950000000000003"/>
    <x v="1"/>
    <x v="194"/>
    <x v="0"/>
  </r>
  <r>
    <n v="217"/>
    <x v="2"/>
    <x v="1"/>
    <n v="38.43"/>
    <n v="533.01"/>
    <n v="571.36"/>
    <n v="222.99"/>
    <n v="23.89"/>
    <x v="1"/>
    <x v="195"/>
    <x v="0"/>
  </r>
  <r>
    <n v="218"/>
    <x v="4"/>
    <x v="4"/>
    <n v="34.67"/>
    <n v="561.99"/>
    <n v="342.49"/>
    <n v="191.26"/>
    <n v="32.1"/>
    <x v="2"/>
    <x v="196"/>
    <x v="0"/>
  </r>
  <r>
    <n v="220"/>
    <x v="1"/>
    <x v="2"/>
    <n v="31.76"/>
    <n v="484.42"/>
    <n v="596.76"/>
    <n v="196.94"/>
    <n v="21.23"/>
    <x v="0"/>
    <x v="197"/>
    <x v="0"/>
  </r>
  <r>
    <n v="223"/>
    <x v="4"/>
    <x v="1"/>
    <n v="80.66"/>
    <n v="500.38"/>
    <n v="537.80999999999995"/>
    <n v="151.38999999999999"/>
    <n v="24.16"/>
    <x v="2"/>
    <x v="198"/>
    <x v="0"/>
  </r>
  <r>
    <n v="224"/>
    <x v="1"/>
    <x v="0"/>
    <n v="55.75"/>
    <n v="337.37"/>
    <n v="396.5"/>
    <n v="249.12"/>
    <n v="30.05"/>
    <x v="2"/>
    <x v="199"/>
    <x v="0"/>
  </r>
  <r>
    <n v="225"/>
    <x v="0"/>
    <x v="1"/>
    <n v="47.47"/>
    <n v="447.01"/>
    <n v="648.16999999999996"/>
    <n v="195.11"/>
    <n v="20.350000000000001"/>
    <x v="1"/>
    <x v="200"/>
    <x v="0"/>
  </r>
  <r>
    <n v="226"/>
    <x v="1"/>
    <x v="3"/>
    <n v="53.92"/>
    <n v="522.46"/>
    <n v="343"/>
    <n v="144.6"/>
    <n v="26.63"/>
    <x v="1"/>
    <x v="201"/>
    <x v="0"/>
  </r>
  <r>
    <n v="227"/>
    <x v="1"/>
    <x v="2"/>
    <n v="48.11"/>
    <n v="584.15"/>
    <n v="434.8"/>
    <n v="134.56"/>
    <n v="42.76"/>
    <x v="0"/>
    <x v="202"/>
    <x v="0"/>
  </r>
  <r>
    <n v="228"/>
    <x v="3"/>
    <x v="0"/>
    <n v="55.53"/>
    <n v="438.24"/>
    <n v="455.24"/>
    <n v="296.72000000000003"/>
    <n v="33.25"/>
    <x v="0"/>
    <x v="203"/>
    <x v="0"/>
  </r>
  <r>
    <n v="229"/>
    <x v="2"/>
    <x v="0"/>
    <n v="49.66"/>
    <n v="718.76"/>
    <n v="552.63"/>
    <n v="192"/>
    <n v="25.59"/>
    <x v="1"/>
    <x v="204"/>
    <x v="0"/>
  </r>
  <r>
    <n v="230"/>
    <x v="4"/>
    <x v="1"/>
    <n v="40.5"/>
    <n v="310.55"/>
    <n v="613.85"/>
    <n v="246.83"/>
    <n v="37.020000000000003"/>
    <x v="2"/>
    <x v="205"/>
    <x v="0"/>
  </r>
  <r>
    <n v="231"/>
    <x v="3"/>
    <x v="4"/>
    <n v="41.29"/>
    <n v="443.63"/>
    <n v="606.33000000000004"/>
    <n v="114.59"/>
    <n v="25.04"/>
    <x v="0"/>
    <x v="206"/>
    <x v="0"/>
  </r>
  <r>
    <n v="232"/>
    <x v="1"/>
    <x v="2"/>
    <n v="40.159999999999997"/>
    <n v="491.7"/>
    <n v="506.85"/>
    <n v="331.88"/>
    <n v="27.23"/>
    <x v="0"/>
    <x v="207"/>
    <x v="0"/>
  </r>
  <r>
    <n v="233"/>
    <x v="4"/>
    <x v="1"/>
    <n v="59.71"/>
    <n v="479.93"/>
    <n v="446.37"/>
    <n v="244.66"/>
    <n v="24.26"/>
    <x v="1"/>
    <x v="208"/>
    <x v="0"/>
  </r>
  <r>
    <n v="234"/>
    <x v="1"/>
    <x v="0"/>
    <n v="43.83"/>
    <n v="376.79"/>
    <n v="260.88"/>
    <n v="187.23"/>
    <n v="31.28"/>
    <x v="1"/>
    <x v="209"/>
    <x v="0"/>
  </r>
  <r>
    <n v="235"/>
    <x v="1"/>
    <x v="1"/>
    <n v="30.88"/>
    <n v="544.79"/>
    <n v="322.3"/>
    <n v="184.69"/>
    <n v="36.840000000000003"/>
    <x v="1"/>
    <x v="210"/>
    <x v="0"/>
  </r>
  <r>
    <n v="236"/>
    <x v="3"/>
    <x v="1"/>
    <n v="53.97"/>
    <n v="537.11"/>
    <n v="692"/>
    <n v="236.73"/>
    <n v="25"/>
    <x v="2"/>
    <x v="211"/>
    <x v="0"/>
  </r>
  <r>
    <n v="237"/>
    <x v="4"/>
    <x v="4"/>
    <n v="65.150000000000006"/>
    <n v="504.8"/>
    <n v="259.67"/>
    <n v="233.86"/>
    <n v="19.7"/>
    <x v="0"/>
    <x v="212"/>
    <x v="0"/>
  </r>
  <r>
    <n v="238"/>
    <x v="0"/>
    <x v="2"/>
    <n v="57.73"/>
    <n v="533.17999999999995"/>
    <n v="385.86"/>
    <n v="209.13"/>
    <n v="35.450000000000003"/>
    <x v="0"/>
    <x v="213"/>
    <x v="0"/>
  </r>
  <r>
    <n v="239"/>
    <x v="2"/>
    <x v="4"/>
    <n v="43.97"/>
    <n v="457.62"/>
    <n v="617.35"/>
    <n v="200.54"/>
    <n v="37.770000000000003"/>
    <x v="2"/>
    <x v="214"/>
    <x v="0"/>
  </r>
  <r>
    <n v="240"/>
    <x v="3"/>
    <x v="0"/>
    <n v="34.130000000000003"/>
    <n v="338.26"/>
    <n v="505.17"/>
    <n v="228.05"/>
    <n v="20.02"/>
    <x v="2"/>
    <x v="215"/>
    <x v="0"/>
  </r>
  <r>
    <n v="241"/>
    <x v="4"/>
    <x v="1"/>
    <n v="48.66"/>
    <n v="428.34"/>
    <n v="591.37"/>
    <n v="112.91"/>
    <n v="32.299999999999997"/>
    <x v="1"/>
    <x v="216"/>
    <x v="0"/>
  </r>
  <r>
    <n v="242"/>
    <x v="1"/>
    <x v="1"/>
    <n v="48.41"/>
    <n v="515.71"/>
    <n v="545.14"/>
    <n v="181.44"/>
    <n v="31.13"/>
    <x v="0"/>
    <x v="217"/>
    <x v="0"/>
  </r>
  <r>
    <n v="243"/>
    <x v="0"/>
    <x v="1"/>
    <n v="36.93"/>
    <n v="516.27"/>
    <n v="656.35"/>
    <n v="117.66"/>
    <n v="26.06"/>
    <x v="2"/>
    <x v="218"/>
    <x v="0"/>
  </r>
  <r>
    <n v="245"/>
    <x v="4"/>
    <x v="0"/>
    <n v="68.47"/>
    <n v="554.87"/>
    <n v="559.61"/>
    <n v="166.21"/>
    <n v="34.96"/>
    <x v="2"/>
    <x v="219"/>
    <x v="0"/>
  </r>
  <r>
    <n v="246"/>
    <x v="1"/>
    <x v="4"/>
    <n v="52.22"/>
    <n v="441.89"/>
    <n v="393.09"/>
    <n v="121.42"/>
    <n v="30.9"/>
    <x v="2"/>
    <x v="220"/>
    <x v="0"/>
  </r>
  <r>
    <n v="247"/>
    <x v="4"/>
    <x v="3"/>
    <n v="51.6"/>
    <n v="502.67"/>
    <n v="550.36"/>
    <n v="160.31"/>
    <n v="31.27"/>
    <x v="0"/>
    <x v="221"/>
    <x v="0"/>
  </r>
  <r>
    <n v="248"/>
    <x v="0"/>
    <x v="4"/>
    <n v="40.630000000000003"/>
    <n v="557.21"/>
    <n v="432.46"/>
    <n v="207.47"/>
    <n v="26.89"/>
    <x v="0"/>
    <x v="222"/>
    <x v="0"/>
  </r>
  <r>
    <n v="249"/>
    <x v="0"/>
    <x v="2"/>
    <n v="63.97"/>
    <n v="491.51"/>
    <n v="425.63"/>
    <n v="189.74"/>
    <n v="25.99"/>
    <x v="2"/>
    <x v="223"/>
    <x v="0"/>
  </r>
  <r>
    <n v="250"/>
    <x v="4"/>
    <x v="1"/>
    <n v="49.25"/>
    <n v="375.67"/>
    <n v="587.37"/>
    <n v="141.34"/>
    <n v="17.73"/>
    <x v="2"/>
    <x v="224"/>
    <x v="0"/>
  </r>
  <r>
    <n v="251"/>
    <x v="2"/>
    <x v="1"/>
    <n v="44.21"/>
    <n v="403.85"/>
    <n v="588.19000000000005"/>
    <n v="114.76"/>
    <n v="28.86"/>
    <x v="0"/>
    <x v="225"/>
    <x v="0"/>
  </r>
  <r>
    <n v="252"/>
    <x v="4"/>
    <x v="3"/>
    <n v="50.64"/>
    <n v="583.09"/>
    <n v="682.61"/>
    <n v="203.7"/>
    <n v="37.19"/>
    <x v="0"/>
    <x v="226"/>
    <x v="0"/>
  </r>
  <r>
    <n v="253"/>
    <x v="3"/>
    <x v="1"/>
    <n v="54.72"/>
    <n v="639.25"/>
    <n v="674.79"/>
    <n v="170.96"/>
    <n v="25.55"/>
    <x v="1"/>
    <x v="227"/>
    <x v="0"/>
  </r>
  <r>
    <n v="254"/>
    <x v="1"/>
    <x v="3"/>
    <n v="51.39"/>
    <n v="617.53"/>
    <n v="590.08000000000004"/>
    <n v="187.1"/>
    <n v="22.39"/>
    <x v="1"/>
    <x v="228"/>
    <x v="0"/>
  </r>
  <r>
    <n v="255"/>
    <x v="1"/>
    <x v="4"/>
    <n v="62.06"/>
    <n v="523.22"/>
    <n v="273.55"/>
    <n v="192.02"/>
    <n v="32.18"/>
    <x v="0"/>
    <x v="229"/>
    <x v="0"/>
  </r>
  <r>
    <n v="256"/>
    <x v="1"/>
    <x v="0"/>
    <n v="53.84"/>
    <n v="379.69"/>
    <n v="699.32"/>
    <n v="221.5"/>
    <n v="33.1"/>
    <x v="2"/>
    <x v="230"/>
    <x v="0"/>
  </r>
  <r>
    <n v="257"/>
    <x v="2"/>
    <x v="1"/>
    <n v="47.16"/>
    <n v="499.36"/>
    <n v="590.16"/>
    <n v="242.35"/>
    <n v="27.07"/>
    <x v="2"/>
    <x v="231"/>
    <x v="0"/>
  </r>
  <r>
    <n v="258"/>
    <x v="3"/>
    <x v="4"/>
    <n v="54.01"/>
    <n v="656.23"/>
    <n v="388.1"/>
    <n v="207.33"/>
    <n v="28.26"/>
    <x v="0"/>
    <x v="232"/>
    <x v="0"/>
  </r>
  <r>
    <n v="259"/>
    <x v="1"/>
    <x v="1"/>
    <n v="55"/>
    <n v="561.85"/>
    <n v="567.47"/>
    <n v="183.98"/>
    <n v="31.32"/>
    <x v="0"/>
    <x v="233"/>
    <x v="0"/>
  </r>
  <r>
    <n v="260"/>
    <x v="4"/>
    <x v="1"/>
    <n v="37.04"/>
    <n v="479.25"/>
    <n v="355.53"/>
    <n v="201.24"/>
    <n v="29.22"/>
    <x v="1"/>
    <x v="234"/>
    <x v="0"/>
  </r>
  <r>
    <n v="261"/>
    <x v="4"/>
    <x v="1"/>
    <n v="61.49"/>
    <n v="562.86"/>
    <n v="554.24"/>
    <n v="183.04"/>
    <n v="35"/>
    <x v="0"/>
    <x v="235"/>
    <x v="0"/>
  </r>
  <r>
    <n v="262"/>
    <x v="0"/>
    <x v="1"/>
    <n v="46.99"/>
    <n v="373.06"/>
    <n v="322.05"/>
    <n v="117.87"/>
    <n v="42.19"/>
    <x v="2"/>
    <x v="236"/>
    <x v="0"/>
  </r>
  <r>
    <n v="263"/>
    <x v="4"/>
    <x v="1"/>
    <n v="47.25"/>
    <n v="430.43"/>
    <n v="383.01"/>
    <n v="254.6"/>
    <n v="21.45"/>
    <x v="0"/>
    <x v="237"/>
    <x v="0"/>
  </r>
  <r>
    <n v="264"/>
    <x v="2"/>
    <x v="3"/>
    <n v="57.51"/>
    <n v="391.58"/>
    <n v="565.19000000000005"/>
    <n v="245.17"/>
    <n v="36.15"/>
    <x v="2"/>
    <x v="238"/>
    <x v="0"/>
  </r>
  <r>
    <n v="265"/>
    <x v="1"/>
    <x v="4"/>
    <n v="57.47"/>
    <n v="546.96"/>
    <n v="608.75"/>
    <n v="299.42"/>
    <n v="30.53"/>
    <x v="0"/>
    <x v="239"/>
    <x v="0"/>
  </r>
  <r>
    <n v="266"/>
    <x v="1"/>
    <x v="1"/>
    <n v="42.99"/>
    <n v="571.41"/>
    <n v="519.04999999999995"/>
    <n v="314.02"/>
    <n v="36.94"/>
    <x v="2"/>
    <x v="240"/>
    <x v="0"/>
  </r>
  <r>
    <n v="267"/>
    <x v="1"/>
    <x v="0"/>
    <n v="58.03"/>
    <n v="484.62"/>
    <n v="445.66"/>
    <n v="141.19999999999999"/>
    <n v="33.619999999999997"/>
    <x v="0"/>
    <x v="241"/>
    <x v="0"/>
  </r>
  <r>
    <n v="268"/>
    <x v="3"/>
    <x v="0"/>
    <n v="221.98"/>
    <n v="1650.83"/>
    <n v="226.22"/>
    <n v="183.23"/>
    <n v="30.31"/>
    <x v="0"/>
    <x v="242"/>
    <x v="0"/>
  </r>
  <r>
    <n v="269"/>
    <x v="4"/>
    <x v="4"/>
    <n v="68.2"/>
    <n v="498.03"/>
    <n v="454.92"/>
    <n v="325.58"/>
    <n v="33.799999999999997"/>
    <x v="1"/>
    <x v="243"/>
    <x v="0"/>
  </r>
  <r>
    <n v="270"/>
    <x v="4"/>
    <x v="4"/>
    <n v="41.72"/>
    <n v="451.34"/>
    <n v="544.02"/>
    <n v="197.97"/>
    <n v="28.03"/>
    <x v="0"/>
    <x v="244"/>
    <x v="0"/>
  </r>
  <r>
    <n v="271"/>
    <x v="1"/>
    <x v="0"/>
    <n v="52.39"/>
    <n v="420.38"/>
    <n v="441.99"/>
    <n v="212.21"/>
    <n v="26.13"/>
    <x v="0"/>
    <x v="245"/>
    <x v="0"/>
  </r>
  <r>
    <n v="272"/>
    <x v="0"/>
    <x v="0"/>
    <n v="42.18"/>
    <n v="533.9"/>
    <n v="477.29"/>
    <n v="123.94"/>
    <n v="34.049999999999997"/>
    <x v="2"/>
    <x v="246"/>
    <x v="0"/>
  </r>
  <r>
    <n v="273"/>
    <x v="4"/>
    <x v="3"/>
    <n v="72.23"/>
    <n v="424.2"/>
    <n v="457.73"/>
    <n v="207.51"/>
    <n v="25.78"/>
    <x v="0"/>
    <x v="247"/>
    <x v="0"/>
  </r>
  <r>
    <n v="274"/>
    <x v="4"/>
    <x v="2"/>
    <n v="37.619999999999997"/>
    <n v="343.37"/>
    <n v="441.4"/>
    <n v="296.60000000000002"/>
    <n v="33.21"/>
    <x v="2"/>
    <x v="248"/>
    <x v="0"/>
  </r>
  <r>
    <n v="275"/>
    <x v="2"/>
    <x v="1"/>
    <n v="55.24"/>
    <n v="365.59"/>
    <n v="489.11"/>
    <n v="264.33"/>
    <n v="30.15"/>
    <x v="0"/>
    <x v="249"/>
    <x v="0"/>
  </r>
  <r>
    <n v="276"/>
    <x v="0"/>
    <x v="1"/>
    <n v="42.65"/>
    <n v="339.67"/>
    <n v="447.28"/>
    <n v="169.5"/>
    <n v="18.350000000000001"/>
    <x v="2"/>
    <x v="250"/>
    <x v="0"/>
  </r>
  <r>
    <n v="277"/>
    <x v="2"/>
    <x v="2"/>
    <n v="46.46"/>
    <n v="524.75"/>
    <n v="653.19000000000005"/>
    <n v="180.18"/>
    <n v="27.13"/>
    <x v="0"/>
    <x v="251"/>
    <x v="0"/>
  </r>
  <r>
    <n v="278"/>
    <x v="3"/>
    <x v="4"/>
    <n v="54.54"/>
    <n v="515.04"/>
    <n v="215.23"/>
    <n v="143.44999999999999"/>
    <n v="31.67"/>
    <x v="2"/>
    <x v="252"/>
    <x v="0"/>
  </r>
  <r>
    <n v="279"/>
    <x v="3"/>
    <x v="0"/>
    <n v="62.25"/>
    <n v="510.05"/>
    <n v="414.5"/>
    <n v="157.44"/>
    <n v="27.97"/>
    <x v="1"/>
    <x v="253"/>
    <x v="0"/>
  </r>
  <r>
    <n v="280"/>
    <x v="1"/>
    <x v="2"/>
    <n v="66.23"/>
    <n v="558.77"/>
    <n v="375.57"/>
    <n v="104.49"/>
    <n v="17.27"/>
    <x v="2"/>
    <x v="254"/>
    <x v="0"/>
  </r>
  <r>
    <n v="281"/>
    <x v="2"/>
    <x v="1"/>
    <n v="34.630000000000003"/>
    <n v="619.20000000000005"/>
    <n v="506.29"/>
    <n v="195.76"/>
    <n v="36.6"/>
    <x v="0"/>
    <x v="255"/>
    <x v="0"/>
  </r>
  <r>
    <n v="282"/>
    <x v="4"/>
    <x v="4"/>
    <n v="52.68"/>
    <n v="440.77"/>
    <n v="489.26"/>
    <n v="275.51"/>
    <n v="30.85"/>
    <x v="1"/>
    <x v="256"/>
    <x v="0"/>
  </r>
  <r>
    <n v="283"/>
    <x v="1"/>
    <x v="1"/>
    <n v="64.59"/>
    <n v="540.65"/>
    <n v="674.66"/>
    <n v="217.77"/>
    <n v="32.22"/>
    <x v="2"/>
    <x v="257"/>
    <x v="0"/>
  </r>
  <r>
    <n v="284"/>
    <x v="0"/>
    <x v="1"/>
    <n v="33.15"/>
    <n v="342.04"/>
    <n v="714.14"/>
    <n v="268.31"/>
    <n v="27.63"/>
    <x v="1"/>
    <x v="258"/>
    <x v="0"/>
  </r>
  <r>
    <n v="285"/>
    <x v="4"/>
    <x v="1"/>
    <n v="53.14"/>
    <n v="637.87"/>
    <n v="387.23"/>
    <n v="253.66"/>
    <n v="32.659999999999997"/>
    <x v="0"/>
    <x v="259"/>
    <x v="0"/>
  </r>
  <r>
    <n v="286"/>
    <x v="4"/>
    <x v="1"/>
    <n v="49.98"/>
    <n v="375.52"/>
    <n v="480.06"/>
    <n v="172.66"/>
    <n v="39.17"/>
    <x v="0"/>
    <x v="260"/>
    <x v="0"/>
  </r>
  <r>
    <n v="287"/>
    <x v="4"/>
    <x v="0"/>
    <n v="54.15"/>
    <n v="428.99"/>
    <n v="503.56"/>
    <n v="162.02000000000001"/>
    <n v="26.32"/>
    <x v="0"/>
    <x v="261"/>
    <x v="0"/>
  </r>
  <r>
    <n v="289"/>
    <x v="2"/>
    <x v="4"/>
    <n v="35.64"/>
    <n v="347.37"/>
    <n v="555.41"/>
    <n v="114.15"/>
    <n v="31.99"/>
    <x v="2"/>
    <x v="262"/>
    <x v="0"/>
  </r>
  <r>
    <n v="290"/>
    <x v="1"/>
    <x v="2"/>
    <n v="30.87"/>
    <n v="503.26"/>
    <n v="451.26"/>
    <n v="201.62"/>
    <n v="25.65"/>
    <x v="0"/>
    <x v="263"/>
    <x v="0"/>
  </r>
  <r>
    <n v="291"/>
    <x v="1"/>
    <x v="4"/>
    <n v="59.76"/>
    <n v="521.39"/>
    <n v="351.88"/>
    <n v="54.78"/>
    <n v="41.06"/>
    <x v="1"/>
    <x v="264"/>
    <x v="0"/>
  </r>
  <r>
    <n v="292"/>
    <x v="0"/>
    <x v="3"/>
    <n v="61.04"/>
    <n v="481.06"/>
    <n v="446.45"/>
    <n v="229.57"/>
    <n v="31.96"/>
    <x v="2"/>
    <x v="265"/>
    <x v="0"/>
  </r>
  <r>
    <n v="293"/>
    <x v="3"/>
    <x v="3"/>
    <n v="53.03"/>
    <n v="345.98"/>
    <n v="360.28"/>
    <n v="203.59"/>
    <n v="33.380000000000003"/>
    <x v="2"/>
    <x v="266"/>
    <x v="0"/>
  </r>
  <r>
    <n v="294"/>
    <x v="4"/>
    <x v="1"/>
    <n v="223.29"/>
    <n v="2793.35"/>
    <n v="604.4"/>
    <n v="223.57"/>
    <n v="28.65"/>
    <x v="0"/>
    <x v="267"/>
    <x v="0"/>
  </r>
  <r>
    <n v="295"/>
    <x v="1"/>
    <x v="0"/>
    <n v="33.770000000000003"/>
    <n v="554.91999999999996"/>
    <n v="708.19"/>
    <n v="252.85"/>
    <n v="26.02"/>
    <x v="2"/>
    <x v="268"/>
    <x v="0"/>
  </r>
  <r>
    <n v="296"/>
    <x v="3"/>
    <x v="3"/>
    <n v="55.63"/>
    <n v="763.42"/>
    <n v="509.38"/>
    <n v="209.94"/>
    <n v="30.84"/>
    <x v="2"/>
    <x v="269"/>
    <x v="0"/>
  </r>
  <r>
    <n v="297"/>
    <x v="0"/>
    <x v="1"/>
    <n v="38.99"/>
    <n v="419.49"/>
    <n v="493.35"/>
    <n v="281.58"/>
    <n v="37.909999999999997"/>
    <x v="1"/>
    <x v="270"/>
    <x v="0"/>
  </r>
  <r>
    <n v="298"/>
    <x v="0"/>
    <x v="4"/>
    <n v="42.89"/>
    <n v="595.79"/>
    <n v="498.29"/>
    <n v="231.1"/>
    <n v="28.45"/>
    <x v="1"/>
    <x v="271"/>
    <x v="0"/>
  </r>
  <r>
    <n v="299"/>
    <x v="3"/>
    <x v="4"/>
    <n v="44.13"/>
    <n v="577.92999999999995"/>
    <n v="621.87"/>
    <n v="162.13999999999999"/>
    <n v="29.87"/>
    <x v="2"/>
    <x v="272"/>
    <x v="0"/>
  </r>
  <r>
    <n v="300"/>
    <x v="0"/>
    <x v="1"/>
    <n v="48.02"/>
    <n v="470.94"/>
    <n v="619.28"/>
    <n v="188.11"/>
    <n v="37.28"/>
    <x v="1"/>
    <x v="273"/>
    <x v="0"/>
  </r>
  <r>
    <n v="302"/>
    <x v="4"/>
    <x v="1"/>
    <n v="150.99"/>
    <n v="459.46"/>
    <n v="510.31"/>
    <n v="154.88999999999999"/>
    <n v="32.549999999999997"/>
    <x v="0"/>
    <x v="274"/>
    <x v="0"/>
  </r>
  <r>
    <n v="303"/>
    <x v="3"/>
    <x v="2"/>
    <n v="43.78"/>
    <n v="463.91"/>
    <n v="558.32000000000005"/>
    <n v="180.95"/>
    <n v="34.39"/>
    <x v="2"/>
    <x v="275"/>
    <x v="0"/>
  </r>
  <r>
    <n v="304"/>
    <x v="2"/>
    <x v="1"/>
    <n v="57.01"/>
    <n v="152.86000000000001"/>
    <n v="343.48"/>
    <n v="227.31"/>
    <n v="29.02"/>
    <x v="0"/>
    <x v="276"/>
    <x v="0"/>
  </r>
  <r>
    <n v="306"/>
    <x v="0"/>
    <x v="1"/>
    <n v="51.09"/>
    <n v="367.45"/>
    <n v="688.18"/>
    <n v="137.69"/>
    <n v="33.31"/>
    <x v="1"/>
    <x v="277"/>
    <x v="0"/>
  </r>
  <r>
    <n v="307"/>
    <x v="2"/>
    <x v="2"/>
    <n v="54.63"/>
    <n v="444.93"/>
    <n v="619.79999999999995"/>
    <n v="105.62"/>
    <n v="28"/>
    <x v="2"/>
    <x v="278"/>
    <x v="0"/>
  </r>
  <r>
    <n v="308"/>
    <x v="0"/>
    <x v="2"/>
    <n v="71.180000000000007"/>
    <n v="397.38"/>
    <n v="330.53"/>
    <n v="170.18"/>
    <n v="34.08"/>
    <x v="1"/>
    <x v="279"/>
    <x v="0"/>
  </r>
  <r>
    <n v="309"/>
    <x v="1"/>
    <x v="1"/>
    <n v="38.270000000000003"/>
    <n v="463.38"/>
    <n v="243.6"/>
    <n v="297.54000000000002"/>
    <n v="27.27"/>
    <x v="1"/>
    <x v="280"/>
    <x v="0"/>
  </r>
  <r>
    <n v="310"/>
    <x v="1"/>
    <x v="3"/>
    <n v="37.67"/>
    <n v="544.39"/>
    <n v="565.04999999999995"/>
    <n v="213.56"/>
    <n v="26.62"/>
    <x v="0"/>
    <x v="281"/>
    <x v="0"/>
  </r>
  <r>
    <n v="311"/>
    <x v="2"/>
    <x v="0"/>
    <n v="56.95"/>
    <n v="501.11"/>
    <n v="388.78"/>
    <n v="246.98"/>
    <n v="22.36"/>
    <x v="0"/>
    <x v="282"/>
    <x v="0"/>
  </r>
  <r>
    <n v="312"/>
    <x v="4"/>
    <x v="0"/>
    <n v="69.47"/>
    <n v="570.96"/>
    <n v="514.46"/>
    <n v="155"/>
    <n v="27.48"/>
    <x v="0"/>
    <x v="283"/>
    <x v="0"/>
  </r>
  <r>
    <n v="313"/>
    <x v="1"/>
    <x v="0"/>
    <n v="47.4"/>
    <n v="626.55999999999995"/>
    <n v="664.22"/>
    <n v="121.33"/>
    <n v="25.92"/>
    <x v="2"/>
    <x v="284"/>
    <x v="0"/>
  </r>
  <r>
    <n v="314"/>
    <x v="3"/>
    <x v="2"/>
    <n v="67.27"/>
    <n v="463.12"/>
    <n v="401.17"/>
    <n v="138.94999999999999"/>
    <n v="28"/>
    <x v="0"/>
    <x v="285"/>
    <x v="0"/>
  </r>
  <r>
    <n v="316"/>
    <x v="1"/>
    <x v="3"/>
    <n v="43.19"/>
    <n v="595.77"/>
    <n v="513.21"/>
    <n v="100.29"/>
    <n v="21.37"/>
    <x v="2"/>
    <x v="286"/>
    <x v="0"/>
  </r>
  <r>
    <n v="318"/>
    <x v="4"/>
    <x v="0"/>
    <n v="56.29"/>
    <n v="574.05999999999995"/>
    <n v="389.06"/>
    <n v="170.68"/>
    <n v="26.25"/>
    <x v="1"/>
    <x v="287"/>
    <x v="0"/>
  </r>
  <r>
    <n v="319"/>
    <x v="2"/>
    <x v="1"/>
    <n v="40.85"/>
    <n v="404.78"/>
    <n v="482.98"/>
    <n v="133.94999999999999"/>
    <n v="32.31"/>
    <x v="1"/>
    <x v="288"/>
    <x v="0"/>
  </r>
  <r>
    <n v="320"/>
    <x v="2"/>
    <x v="2"/>
    <n v="50.81"/>
    <n v="542.27"/>
    <n v="443.95"/>
    <n v="93.82"/>
    <n v="31.44"/>
    <x v="2"/>
    <x v="289"/>
    <x v="0"/>
  </r>
  <r>
    <n v="321"/>
    <x v="4"/>
    <x v="0"/>
    <n v="65.83"/>
    <n v="510.95"/>
    <n v="553.01"/>
    <n v="214.48"/>
    <n v="26.17"/>
    <x v="2"/>
    <x v="290"/>
    <x v="0"/>
  </r>
  <r>
    <n v="322"/>
    <x v="4"/>
    <x v="4"/>
    <n v="46.93"/>
    <n v="605.25"/>
    <n v="811.92"/>
    <n v="202.29"/>
    <n v="35.85"/>
    <x v="2"/>
    <x v="291"/>
    <x v="0"/>
  </r>
  <r>
    <n v="323"/>
    <x v="3"/>
    <x v="3"/>
    <n v="119.46"/>
    <n v="442.71"/>
    <n v="491.9"/>
    <n v="238.95"/>
    <n v="26.71"/>
    <x v="1"/>
    <x v="292"/>
    <x v="0"/>
  </r>
  <r>
    <n v="325"/>
    <x v="0"/>
    <x v="4"/>
    <n v="44.66"/>
    <n v="569.02"/>
    <n v="650.19000000000005"/>
    <n v="238"/>
    <n v="28.19"/>
    <x v="2"/>
    <x v="293"/>
    <x v="0"/>
  </r>
  <r>
    <n v="326"/>
    <x v="4"/>
    <x v="3"/>
    <n v="35.93"/>
    <n v="244.16"/>
    <n v="289.33999999999997"/>
    <n v="276.47000000000003"/>
    <n v="25.66"/>
    <x v="0"/>
    <x v="294"/>
    <x v="0"/>
  </r>
  <r>
    <n v="327"/>
    <x v="1"/>
    <x v="4"/>
    <n v="50.73"/>
    <n v="426.85"/>
    <n v="313.33"/>
    <n v="213.11"/>
    <n v="26.97"/>
    <x v="0"/>
    <x v="295"/>
    <x v="0"/>
  </r>
  <r>
    <n v="328"/>
    <x v="0"/>
    <x v="0"/>
    <n v="57.8"/>
    <n v="397.68"/>
    <n v="408.59"/>
    <n v="169.5"/>
    <n v="33.67"/>
    <x v="2"/>
    <x v="296"/>
    <x v="0"/>
  </r>
  <r>
    <n v="329"/>
    <x v="0"/>
    <x v="2"/>
    <n v="50.75"/>
    <n v="397.01"/>
    <n v="446.05"/>
    <n v="207.25"/>
    <n v="31.81"/>
    <x v="2"/>
    <x v="297"/>
    <x v="0"/>
  </r>
  <r>
    <n v="330"/>
    <x v="1"/>
    <x v="3"/>
    <n v="62.27"/>
    <n v="425.1"/>
    <n v="405.71"/>
    <n v="167.11"/>
    <n v="34.840000000000003"/>
    <x v="0"/>
    <x v="298"/>
    <x v="0"/>
  </r>
  <r>
    <n v="331"/>
    <x v="4"/>
    <x v="1"/>
    <n v="42.51"/>
    <n v="621.74"/>
    <n v="476.22"/>
    <n v="158.79"/>
    <n v="31.8"/>
    <x v="2"/>
    <x v="299"/>
    <x v="0"/>
  </r>
  <r>
    <n v="332"/>
    <x v="1"/>
    <x v="4"/>
    <n v="52.25"/>
    <n v="582.05999999999995"/>
    <n v="512.97"/>
    <n v="234.16"/>
    <n v="21.94"/>
    <x v="2"/>
    <x v="300"/>
    <x v="0"/>
  </r>
  <r>
    <n v="334"/>
    <x v="0"/>
    <x v="1"/>
    <n v="53.62"/>
    <n v="613.36"/>
    <n v="490.94"/>
    <n v="260.25"/>
    <n v="31.88"/>
    <x v="2"/>
    <x v="301"/>
    <x v="0"/>
  </r>
  <r>
    <n v="335"/>
    <x v="1"/>
    <x v="1"/>
    <n v="55.04"/>
    <n v="393.77"/>
    <n v="412.57"/>
    <n v="177.88"/>
    <n v="32.57"/>
    <x v="0"/>
    <x v="302"/>
    <x v="0"/>
  </r>
  <r>
    <n v="336"/>
    <x v="1"/>
    <x v="2"/>
    <n v="55.82"/>
    <n v="380.17"/>
    <n v="601.76"/>
    <n v="182.94"/>
    <n v="28.12"/>
    <x v="2"/>
    <x v="303"/>
    <x v="0"/>
  </r>
  <r>
    <n v="337"/>
    <x v="3"/>
    <x v="0"/>
    <n v="39.29"/>
    <n v="586.36"/>
    <n v="381.87"/>
    <n v="171.67"/>
    <n v="35.57"/>
    <x v="1"/>
    <x v="304"/>
    <x v="0"/>
  </r>
  <r>
    <n v="338"/>
    <x v="2"/>
    <x v="2"/>
    <n v="41.1"/>
    <n v="557.96"/>
    <n v="284.08999999999997"/>
    <n v="143.99"/>
    <n v="24.53"/>
    <x v="2"/>
    <x v="305"/>
    <x v="0"/>
  </r>
  <r>
    <n v="340"/>
    <x v="1"/>
    <x v="2"/>
    <n v="47.61"/>
    <n v="386.45"/>
    <n v="617.02"/>
    <n v="309.29000000000002"/>
    <n v="19.600000000000001"/>
    <x v="1"/>
    <x v="306"/>
    <x v="0"/>
  </r>
  <r>
    <n v="342"/>
    <x v="3"/>
    <x v="1"/>
    <n v="57.08"/>
    <n v="327.99"/>
    <n v="432.11"/>
    <n v="165.98"/>
    <n v="24.6"/>
    <x v="1"/>
    <x v="307"/>
    <x v="0"/>
  </r>
  <r>
    <n v="343"/>
    <x v="3"/>
    <x v="1"/>
    <n v="41.52"/>
    <n v="440.16"/>
    <n v="369.97"/>
    <n v="162.72999999999999"/>
    <n v="31.38"/>
    <x v="1"/>
    <x v="308"/>
    <x v="0"/>
  </r>
  <r>
    <n v="344"/>
    <x v="0"/>
    <x v="3"/>
    <n v="33.99"/>
    <n v="522.86"/>
    <n v="519.19000000000005"/>
    <n v="166.01"/>
    <n v="36.79"/>
    <x v="0"/>
    <x v="309"/>
    <x v="0"/>
  </r>
  <r>
    <n v="346"/>
    <x v="1"/>
    <x v="2"/>
    <n v="38.69"/>
    <n v="538.30999999999995"/>
    <n v="564.35"/>
    <n v="164.08"/>
    <n v="36.119999999999997"/>
    <x v="0"/>
    <x v="310"/>
    <x v="0"/>
  </r>
  <r>
    <n v="347"/>
    <x v="0"/>
    <x v="3"/>
    <n v="58.36"/>
    <n v="548.03"/>
    <n v="604.29"/>
    <n v="170.74"/>
    <n v="35.6"/>
    <x v="0"/>
    <x v="311"/>
    <x v="0"/>
  </r>
  <r>
    <n v="348"/>
    <x v="3"/>
    <x v="1"/>
    <n v="50.31"/>
    <n v="443.06"/>
    <n v="578.37"/>
    <n v="137.97999999999999"/>
    <n v="27.38"/>
    <x v="2"/>
    <x v="312"/>
    <x v="0"/>
  </r>
  <r>
    <n v="349"/>
    <x v="1"/>
    <x v="4"/>
    <n v="52.51"/>
    <n v="556.85"/>
    <n v="479.99"/>
    <n v="214.68"/>
    <n v="32.99"/>
    <x v="2"/>
    <x v="313"/>
    <x v="0"/>
  </r>
  <r>
    <n v="350"/>
    <x v="0"/>
    <x v="0"/>
    <n v="49.98"/>
    <n v="510.53"/>
    <n v="610"/>
    <n v="196.64"/>
    <n v="21.38"/>
    <x v="0"/>
    <x v="314"/>
    <x v="0"/>
  </r>
  <r>
    <n v="351"/>
    <x v="4"/>
    <x v="1"/>
    <n v="46.15"/>
    <n v="341.15"/>
    <n v="569.4"/>
    <n v="143.13999999999999"/>
    <n v="26.57"/>
    <x v="2"/>
    <x v="315"/>
    <x v="0"/>
  </r>
  <r>
    <n v="352"/>
    <x v="0"/>
    <x v="4"/>
    <n v="54.64"/>
    <n v="579.29"/>
    <n v="652.73"/>
    <n v="155.36000000000001"/>
    <n v="36.96"/>
    <x v="2"/>
    <x v="316"/>
    <x v="0"/>
  </r>
  <r>
    <n v="353"/>
    <x v="4"/>
    <x v="1"/>
    <n v="45.61"/>
    <n v="597.04"/>
    <n v="424.85"/>
    <n v="276.64999999999998"/>
    <n v="28.07"/>
    <x v="2"/>
    <x v="317"/>
    <x v="0"/>
  </r>
  <r>
    <n v="354"/>
    <x v="3"/>
    <x v="4"/>
    <n v="61.66"/>
    <n v="580.34"/>
    <n v="271.43"/>
    <n v="201.64"/>
    <n v="20.66"/>
    <x v="0"/>
    <x v="318"/>
    <x v="0"/>
  </r>
  <r>
    <n v="355"/>
    <x v="4"/>
    <x v="0"/>
    <n v="55.68"/>
    <n v="503.33"/>
    <n v="605.42999999999995"/>
    <n v="205.08"/>
    <n v="40.07"/>
    <x v="0"/>
    <x v="319"/>
    <x v="0"/>
  </r>
  <r>
    <n v="356"/>
    <x v="1"/>
    <x v="1"/>
    <n v="56"/>
    <n v="404.38"/>
    <n v="521.97"/>
    <n v="205.28"/>
    <n v="32.81"/>
    <x v="2"/>
    <x v="34"/>
    <x v="1"/>
  </r>
  <r>
    <n v="357"/>
    <x v="3"/>
    <x v="4"/>
    <n v="44.93"/>
    <n v="269.08"/>
    <n v="444.47"/>
    <n v="269.73"/>
    <n v="33.82"/>
    <x v="2"/>
    <x v="320"/>
    <x v="0"/>
  </r>
  <r>
    <n v="358"/>
    <x v="1"/>
    <x v="1"/>
    <n v="47.64"/>
    <n v="515.71"/>
    <n v="451.18"/>
    <n v="147.74"/>
    <n v="25.1"/>
    <x v="1"/>
    <x v="321"/>
    <x v="0"/>
  </r>
  <r>
    <n v="359"/>
    <x v="1"/>
    <x v="1"/>
    <n v="38.119999999999997"/>
    <n v="608.19000000000005"/>
    <n v="786.56"/>
    <n v="180.18"/>
    <n v="31.42"/>
    <x v="2"/>
    <x v="322"/>
    <x v="0"/>
  </r>
  <r>
    <n v="360"/>
    <x v="4"/>
    <x v="3"/>
    <n v="46.47"/>
    <n v="599.54999999999995"/>
    <n v="402.94"/>
    <n v="191.55"/>
    <n v="31.29"/>
    <x v="0"/>
    <x v="323"/>
    <x v="0"/>
  </r>
  <r>
    <n v="361"/>
    <x v="4"/>
    <x v="4"/>
    <n v="39.630000000000003"/>
    <n v="581.61"/>
    <n v="377.6"/>
    <n v="113.94"/>
    <n v="25.89"/>
    <x v="0"/>
    <x v="324"/>
    <x v="0"/>
  </r>
  <r>
    <n v="362"/>
    <x v="4"/>
    <x v="2"/>
    <n v="63.13"/>
    <n v="492.58"/>
    <n v="490.23"/>
    <n v="154.19"/>
    <n v="29.15"/>
    <x v="2"/>
    <x v="325"/>
    <x v="0"/>
  </r>
  <r>
    <n v="363"/>
    <x v="4"/>
    <x v="4"/>
    <n v="50.51"/>
    <n v="608.75"/>
    <n v="621.66"/>
    <n v="252.33"/>
    <n v="22.5"/>
    <x v="1"/>
    <x v="326"/>
    <x v="0"/>
  </r>
  <r>
    <n v="364"/>
    <x v="4"/>
    <x v="1"/>
    <n v="51.7"/>
    <n v="592.41999999999996"/>
    <n v="753.41"/>
    <n v="238.01"/>
    <n v="28.27"/>
    <x v="2"/>
    <x v="327"/>
    <x v="0"/>
  </r>
  <r>
    <n v="365"/>
    <x v="3"/>
    <x v="1"/>
    <n v="47.75"/>
    <n v="457.74"/>
    <n v="558.88"/>
    <n v="246.85"/>
    <n v="34.869999999999997"/>
    <x v="2"/>
    <x v="328"/>
    <x v="0"/>
  </r>
  <r>
    <n v="366"/>
    <x v="1"/>
    <x v="4"/>
    <n v="51.98"/>
    <n v="567.66"/>
    <n v="327.55"/>
    <n v="170.55"/>
    <n v="26.27"/>
    <x v="0"/>
    <x v="329"/>
    <x v="2"/>
  </r>
  <r>
    <n v="367"/>
    <x v="1"/>
    <x v="0"/>
    <n v="74.650000000000006"/>
    <n v="446.4"/>
    <n v="716.5"/>
    <n v="176.72"/>
    <n v="39.54"/>
    <x v="2"/>
    <x v="330"/>
    <x v="2"/>
  </r>
  <r>
    <n v="368"/>
    <x v="0"/>
    <x v="1"/>
    <n v="47"/>
    <n v="554"/>
    <n v="477.66"/>
    <n v="110.6"/>
    <n v="22.82"/>
    <x v="0"/>
    <x v="331"/>
    <x v="2"/>
  </r>
  <r>
    <n v="371"/>
    <x v="1"/>
    <x v="1"/>
    <n v="24.74"/>
    <n v="605.82000000000005"/>
    <n v="580.36"/>
    <n v="254.2"/>
    <n v="29.1"/>
    <x v="2"/>
    <x v="332"/>
    <x v="2"/>
  </r>
  <r>
    <n v="373"/>
    <x v="1"/>
    <x v="2"/>
    <n v="46.28"/>
    <n v="563.36"/>
    <n v="521.41"/>
    <n v="221.11"/>
    <n v="25.08"/>
    <x v="2"/>
    <x v="333"/>
    <x v="2"/>
  </r>
  <r>
    <n v="374"/>
    <x v="0"/>
    <x v="1"/>
    <n v="40.08"/>
    <n v="508.8"/>
    <n v="634.38"/>
    <n v="277.83999999999997"/>
    <n v="27.74"/>
    <x v="2"/>
    <x v="334"/>
    <x v="2"/>
  </r>
  <r>
    <n v="375"/>
    <x v="2"/>
    <x v="1"/>
    <n v="55.08"/>
    <n v="260.87"/>
    <n v="383.74"/>
    <n v="189.98"/>
    <n v="33.270000000000003"/>
    <x v="1"/>
    <x v="335"/>
    <x v="2"/>
  </r>
  <r>
    <n v="376"/>
    <x v="3"/>
    <x v="3"/>
    <n v="50.54"/>
    <n v="492.51"/>
    <n v="643.94000000000005"/>
    <n v="111.65"/>
    <n v="30.47"/>
    <x v="0"/>
    <x v="336"/>
    <x v="2"/>
  </r>
  <r>
    <n v="377"/>
    <x v="1"/>
    <x v="1"/>
    <n v="31.98"/>
    <n v="545.41999999999996"/>
    <n v="417.7"/>
    <n v="243.04"/>
    <n v="30.88"/>
    <x v="2"/>
    <x v="337"/>
    <x v="2"/>
  </r>
  <r>
    <n v="378"/>
    <x v="1"/>
    <x v="0"/>
    <n v="43.53"/>
    <n v="446.53"/>
    <n v="739.68"/>
    <n v="109.81"/>
    <n v="25.17"/>
    <x v="0"/>
    <x v="338"/>
    <x v="2"/>
  </r>
  <r>
    <n v="379"/>
    <x v="0"/>
    <x v="2"/>
    <n v="21.12"/>
    <n v="428.75"/>
    <n v="551.85"/>
    <n v="208.51"/>
    <n v="29.64"/>
    <x v="2"/>
    <x v="339"/>
    <x v="2"/>
  </r>
  <r>
    <n v="380"/>
    <x v="3"/>
    <x v="1"/>
    <n v="52.93"/>
    <n v="644.44000000000005"/>
    <n v="369.57"/>
    <n v="247.77"/>
    <n v="35.659999999999997"/>
    <x v="0"/>
    <x v="340"/>
    <x v="2"/>
  </r>
  <r>
    <n v="381"/>
    <x v="3"/>
    <x v="3"/>
    <n v="52.83"/>
    <n v="493.97"/>
    <n v="236.95"/>
    <n v="216.21"/>
    <n v="21.95"/>
    <x v="0"/>
    <x v="341"/>
    <x v="2"/>
  </r>
  <r>
    <n v="383"/>
    <x v="2"/>
    <x v="4"/>
    <n v="55.4"/>
    <n v="577.41"/>
    <n v="435.1"/>
    <n v="101.7"/>
    <n v="20.92"/>
    <x v="1"/>
    <x v="342"/>
    <x v="2"/>
  </r>
  <r>
    <n v="384"/>
    <x v="4"/>
    <x v="3"/>
    <n v="37.18"/>
    <n v="399.86"/>
    <n v="461.33"/>
    <n v="195.86"/>
    <n v="32.68"/>
    <x v="2"/>
    <x v="343"/>
    <x v="2"/>
  </r>
  <r>
    <n v="385"/>
    <x v="4"/>
    <x v="3"/>
    <n v="40.33"/>
    <n v="519.32000000000005"/>
    <n v="571.94000000000005"/>
    <n v="200.87"/>
    <n v="36.130000000000003"/>
    <x v="2"/>
    <x v="344"/>
    <x v="2"/>
  </r>
  <r>
    <n v="386"/>
    <x v="4"/>
    <x v="0"/>
    <n v="54.17"/>
    <n v="631.96"/>
    <n v="601.25"/>
    <n v="132.79"/>
    <n v="29.08"/>
    <x v="1"/>
    <x v="345"/>
    <x v="2"/>
  </r>
  <r>
    <n v="387"/>
    <x v="4"/>
    <x v="3"/>
    <n v="43.11"/>
    <n v="681.92"/>
    <n v="626.85"/>
    <n v="142.31"/>
    <n v="24.97"/>
    <x v="2"/>
    <x v="346"/>
    <x v="2"/>
  </r>
  <r>
    <n v="388"/>
    <x v="4"/>
    <x v="0"/>
    <n v="49.37"/>
    <n v="503.99"/>
    <n v="339.02"/>
    <n v="157.74"/>
    <n v="25.12"/>
    <x v="2"/>
    <x v="347"/>
    <x v="2"/>
  </r>
  <r>
    <n v="389"/>
    <x v="1"/>
    <x v="1"/>
    <n v="44.36"/>
    <n v="476.21"/>
    <n v="651.11"/>
    <n v="145.02000000000001"/>
    <n v="28.51"/>
    <x v="2"/>
    <x v="348"/>
    <x v="2"/>
  </r>
  <r>
    <n v="390"/>
    <x v="3"/>
    <x v="0"/>
    <n v="45.89"/>
    <n v="526.9"/>
    <n v="410.51"/>
    <n v="194.6"/>
    <n v="28.5"/>
    <x v="0"/>
    <x v="349"/>
    <x v="2"/>
  </r>
  <r>
    <n v="391"/>
    <x v="4"/>
    <x v="0"/>
    <n v="46.33"/>
    <n v="524.36"/>
    <n v="209.25"/>
    <n v="169.85"/>
    <n v="34.56"/>
    <x v="1"/>
    <x v="350"/>
    <x v="2"/>
  </r>
  <r>
    <n v="392"/>
    <x v="3"/>
    <x v="2"/>
    <n v="42.93"/>
    <n v="638.67999999999995"/>
    <n v="338.59"/>
    <n v="215.9"/>
    <n v="26.66"/>
    <x v="2"/>
    <x v="351"/>
    <x v="2"/>
  </r>
  <r>
    <n v="393"/>
    <x v="3"/>
    <x v="0"/>
    <n v="53.02"/>
    <n v="400.36"/>
    <n v="506.16"/>
    <n v="232.47"/>
    <n v="32.18"/>
    <x v="2"/>
    <x v="352"/>
    <x v="2"/>
  </r>
  <r>
    <n v="394"/>
    <x v="4"/>
    <x v="0"/>
    <n v="43.72"/>
    <n v="472.01"/>
    <n v="362.54"/>
    <n v="229.09"/>
    <n v="28.47"/>
    <x v="0"/>
    <x v="353"/>
    <x v="2"/>
  </r>
  <r>
    <n v="395"/>
    <x v="1"/>
    <x v="4"/>
    <n v="50.16"/>
    <n v="388.29"/>
    <n v="469.43"/>
    <n v="179.49"/>
    <n v="26.28"/>
    <x v="1"/>
    <x v="354"/>
    <x v="2"/>
  </r>
  <r>
    <n v="396"/>
    <x v="4"/>
    <x v="1"/>
    <n v="42.71"/>
    <n v="398.79"/>
    <n v="520.59"/>
    <n v="214.22"/>
    <n v="28.35"/>
    <x v="2"/>
    <x v="355"/>
    <x v="2"/>
  </r>
  <r>
    <n v="397"/>
    <x v="1"/>
    <x v="2"/>
    <n v="34.659999999999997"/>
    <n v="537.66"/>
    <n v="458.23"/>
    <n v="251.76"/>
    <n v="31.68"/>
    <x v="0"/>
    <x v="356"/>
    <x v="2"/>
  </r>
  <r>
    <n v="398"/>
    <x v="0"/>
    <x v="4"/>
    <n v="59.12"/>
    <n v="580.99"/>
    <n v="420.68"/>
    <n v="222.28"/>
    <n v="34.57"/>
    <x v="1"/>
    <x v="357"/>
    <x v="2"/>
  </r>
  <r>
    <n v="399"/>
    <x v="2"/>
    <x v="1"/>
    <n v="52.35"/>
    <n v="435.06"/>
    <n v="329.92"/>
    <n v="292.95"/>
    <n v="28.74"/>
    <x v="0"/>
    <x v="358"/>
    <x v="2"/>
  </r>
  <r>
    <n v="400"/>
    <x v="1"/>
    <x v="1"/>
    <n v="72.89"/>
    <n v="577.21"/>
    <n v="482.63"/>
    <n v="249.11"/>
    <n v="23.98"/>
    <x v="2"/>
    <x v="359"/>
    <x v="2"/>
  </r>
  <r>
    <n v="404"/>
    <x v="3"/>
    <x v="4"/>
    <n v="59.89"/>
    <n v="436.02"/>
    <n v="451.27"/>
    <n v="183.8"/>
    <n v="29.88"/>
    <x v="2"/>
    <x v="360"/>
    <x v="2"/>
  </r>
  <r>
    <n v="405"/>
    <x v="2"/>
    <x v="3"/>
    <n v="44.93"/>
    <n v="399.75"/>
    <n v="454.4"/>
    <n v="193.75"/>
    <n v="29.21"/>
    <x v="2"/>
    <x v="361"/>
    <x v="2"/>
  </r>
  <r>
    <n v="406"/>
    <x v="3"/>
    <x v="4"/>
    <n v="38.29"/>
    <n v="389.82"/>
    <n v="595.19000000000005"/>
    <n v="159.75"/>
    <n v="27.57"/>
    <x v="1"/>
    <x v="362"/>
    <x v="2"/>
  </r>
  <r>
    <n v="407"/>
    <x v="1"/>
    <x v="3"/>
    <n v="62.08"/>
    <n v="624.98"/>
    <n v="670.02"/>
    <n v="219.81"/>
    <n v="33.1"/>
    <x v="0"/>
    <x v="363"/>
    <x v="2"/>
  </r>
  <r>
    <n v="408"/>
    <x v="1"/>
    <x v="1"/>
    <n v="46.83"/>
    <n v="348.49"/>
    <n v="345.87"/>
    <n v="109.58"/>
    <n v="12.09"/>
    <x v="0"/>
    <x v="364"/>
    <x v="2"/>
  </r>
  <r>
    <n v="409"/>
    <x v="0"/>
    <x v="1"/>
    <n v="58.79"/>
    <n v="621.77"/>
    <n v="719.14"/>
    <n v="220.17"/>
    <n v="35.68"/>
    <x v="1"/>
    <x v="365"/>
    <x v="2"/>
  </r>
  <r>
    <n v="410"/>
    <x v="0"/>
    <x v="1"/>
    <n v="57.62"/>
    <n v="413.16"/>
    <n v="386.48"/>
    <n v="161.41"/>
    <n v="25.44"/>
    <x v="2"/>
    <x v="366"/>
    <x v="2"/>
  </r>
  <r>
    <n v="411"/>
    <x v="4"/>
    <x v="2"/>
    <n v="49.7"/>
    <n v="431.48"/>
    <n v="500.7"/>
    <n v="174.98"/>
    <n v="32.04"/>
    <x v="2"/>
    <x v="367"/>
    <x v="2"/>
  </r>
  <r>
    <n v="412"/>
    <x v="1"/>
    <x v="1"/>
    <n v="48.26"/>
    <n v="484.84"/>
    <n v="541.29999999999995"/>
    <n v="221.93"/>
    <n v="31.78"/>
    <x v="2"/>
    <x v="368"/>
    <x v="2"/>
  </r>
  <r>
    <n v="413"/>
    <x v="4"/>
    <x v="1"/>
    <n v="46.08"/>
    <n v="429.63"/>
    <n v="773.35"/>
    <n v="203.94"/>
    <n v="36.369999999999997"/>
    <x v="0"/>
    <x v="369"/>
    <x v="2"/>
  </r>
  <r>
    <n v="415"/>
    <x v="4"/>
    <x v="4"/>
    <n v="58.63"/>
    <n v="681.33"/>
    <n v="264.39"/>
    <n v="151.52000000000001"/>
    <n v="25.85"/>
    <x v="1"/>
    <x v="370"/>
    <x v="2"/>
  </r>
  <r>
    <n v="416"/>
    <x v="3"/>
    <x v="4"/>
    <n v="42.04"/>
    <n v="434.26"/>
    <n v="658.85"/>
    <n v="195.96"/>
    <n v="21.98"/>
    <x v="0"/>
    <x v="371"/>
    <x v="2"/>
  </r>
  <r>
    <n v="417"/>
    <x v="0"/>
    <x v="2"/>
    <n v="51.09"/>
    <n v="456.78"/>
    <n v="380"/>
    <n v="244.44"/>
    <n v="28.26"/>
    <x v="2"/>
    <x v="372"/>
    <x v="2"/>
  </r>
  <r>
    <n v="418"/>
    <x v="1"/>
    <x v="1"/>
    <n v="38.81"/>
    <n v="483.67"/>
    <n v="436.61"/>
    <n v="218.06"/>
    <n v="20.21"/>
    <x v="0"/>
    <x v="373"/>
    <x v="2"/>
  </r>
  <r>
    <n v="419"/>
    <x v="1"/>
    <x v="1"/>
    <n v="40.06"/>
    <n v="554.11"/>
    <n v="345.87"/>
    <n v="221.28"/>
    <n v="26.86"/>
    <x v="0"/>
    <x v="374"/>
    <x v="2"/>
  </r>
  <r>
    <n v="421"/>
    <x v="1"/>
    <x v="1"/>
    <n v="30.4"/>
    <n v="638.73"/>
    <n v="379.15"/>
    <n v="179.69"/>
    <n v="26.55"/>
    <x v="0"/>
    <x v="375"/>
    <x v="2"/>
  </r>
  <r>
    <n v="422"/>
    <x v="4"/>
    <x v="4"/>
    <n v="70.61"/>
    <n v="614.66"/>
    <n v="561.16999999999996"/>
    <n v="169.16"/>
    <n v="30.21"/>
    <x v="0"/>
    <x v="376"/>
    <x v="2"/>
  </r>
  <r>
    <n v="423"/>
    <x v="1"/>
    <x v="0"/>
    <n v="38.07"/>
    <n v="381.45"/>
    <n v="489.69"/>
    <n v="228.8"/>
    <n v="28.82"/>
    <x v="0"/>
    <x v="377"/>
    <x v="2"/>
  </r>
  <r>
    <n v="424"/>
    <x v="2"/>
    <x v="0"/>
    <n v="49.6"/>
    <n v="552.1"/>
    <n v="398.27"/>
    <n v="192.53"/>
    <n v="28.36"/>
    <x v="2"/>
    <x v="378"/>
    <x v="2"/>
  </r>
  <r>
    <n v="425"/>
    <x v="3"/>
    <x v="0"/>
    <n v="61.68"/>
    <n v="652.03"/>
    <n v="599.5"/>
    <n v="256.11"/>
    <n v="17.88"/>
    <x v="0"/>
    <x v="379"/>
    <x v="2"/>
  </r>
  <r>
    <n v="427"/>
    <x v="1"/>
    <x v="4"/>
    <n v="134.87"/>
    <n v="1882.29"/>
    <n v="258.47000000000003"/>
    <n v="168.83"/>
    <n v="33.21"/>
    <x v="2"/>
    <x v="380"/>
    <x v="2"/>
  </r>
  <r>
    <n v="428"/>
    <x v="0"/>
    <x v="1"/>
    <n v="45.55"/>
    <n v="447.2"/>
    <n v="590.36"/>
    <n v="216.92"/>
    <n v="34.020000000000003"/>
    <x v="2"/>
    <x v="381"/>
    <x v="2"/>
  </r>
  <r>
    <n v="429"/>
    <x v="2"/>
    <x v="1"/>
    <n v="41.25"/>
    <n v="449.29"/>
    <n v="502.18"/>
    <n v="154.87"/>
    <n v="20.81"/>
    <x v="2"/>
    <x v="382"/>
    <x v="2"/>
  </r>
  <r>
    <n v="430"/>
    <x v="1"/>
    <x v="1"/>
    <n v="27.24"/>
    <n v="333.15"/>
    <n v="646.89"/>
    <n v="247.35"/>
    <n v="25.93"/>
    <x v="0"/>
    <x v="383"/>
    <x v="2"/>
  </r>
  <r>
    <n v="431"/>
    <x v="1"/>
    <x v="1"/>
    <n v="52.85"/>
    <n v="367.17"/>
    <n v="494.87"/>
    <n v="130.13999999999999"/>
    <n v="35.36"/>
    <x v="1"/>
    <x v="384"/>
    <x v="2"/>
  </r>
  <r>
    <n v="432"/>
    <x v="2"/>
    <x v="4"/>
    <n v="52.07"/>
    <n v="507.75"/>
    <n v="384.99"/>
    <n v="261.10000000000002"/>
    <n v="26.41"/>
    <x v="0"/>
    <x v="385"/>
    <x v="2"/>
  </r>
  <r>
    <n v="433"/>
    <x v="1"/>
    <x v="0"/>
    <n v="61.42"/>
    <n v="651.36"/>
    <n v="455.48"/>
    <n v="216.04"/>
    <n v="29.44"/>
    <x v="0"/>
    <x v="386"/>
    <x v="2"/>
  </r>
  <r>
    <n v="434"/>
    <x v="3"/>
    <x v="3"/>
    <n v="38.79"/>
    <n v="438.66"/>
    <n v="576.47"/>
    <n v="191.77"/>
    <n v="37.21"/>
    <x v="0"/>
    <x v="387"/>
    <x v="2"/>
  </r>
  <r>
    <n v="435"/>
    <x v="4"/>
    <x v="1"/>
    <n v="34.01"/>
    <n v="435.72"/>
    <n v="387.51"/>
    <n v="238.17"/>
    <n v="28.19"/>
    <x v="2"/>
    <x v="388"/>
    <x v="2"/>
  </r>
  <r>
    <n v="436"/>
    <x v="1"/>
    <x v="4"/>
    <n v="45.93"/>
    <n v="670.15"/>
    <n v="427.16"/>
    <n v="225.57"/>
    <n v="27.48"/>
    <x v="0"/>
    <x v="389"/>
    <x v="2"/>
  </r>
  <r>
    <n v="437"/>
    <x v="4"/>
    <x v="0"/>
    <n v="49.12"/>
    <n v="389.17"/>
    <n v="453.4"/>
    <n v="266.52"/>
    <n v="29.21"/>
    <x v="0"/>
    <x v="390"/>
    <x v="2"/>
  </r>
  <r>
    <n v="439"/>
    <x v="4"/>
    <x v="3"/>
    <n v="64.11"/>
    <n v="417.15"/>
    <n v="389.24"/>
    <n v="217.61"/>
    <n v="32.229999999999997"/>
    <x v="0"/>
    <x v="391"/>
    <x v="2"/>
  </r>
  <r>
    <n v="440"/>
    <x v="2"/>
    <x v="4"/>
    <n v="62.14"/>
    <n v="433.72"/>
    <n v="500.71"/>
    <n v="156.41"/>
    <n v="30.1"/>
    <x v="2"/>
    <x v="392"/>
    <x v="2"/>
  </r>
  <r>
    <n v="441"/>
    <x v="3"/>
    <x v="2"/>
    <n v="52.77"/>
    <n v="325.25"/>
    <n v="624.29999999999995"/>
    <n v="172.92"/>
    <n v="27.38"/>
    <x v="0"/>
    <x v="393"/>
    <x v="2"/>
  </r>
  <r>
    <n v="442"/>
    <x v="4"/>
    <x v="1"/>
    <n v="57.99"/>
    <n v="487.2"/>
    <n v="518.05999999999995"/>
    <n v="196.42"/>
    <n v="32.69"/>
    <x v="2"/>
    <x v="394"/>
    <x v="2"/>
  </r>
  <r>
    <n v="443"/>
    <x v="4"/>
    <x v="3"/>
    <n v="43.6"/>
    <n v="594.84"/>
    <n v="474.5"/>
    <n v="254.09"/>
    <n v="33.299999999999997"/>
    <x v="1"/>
    <x v="395"/>
    <x v="2"/>
  </r>
  <r>
    <n v="444"/>
    <x v="2"/>
    <x v="4"/>
    <n v="258.42"/>
    <n v="1485.62"/>
    <n v="380.25"/>
    <n v="177.18"/>
    <n v="24.63"/>
    <x v="2"/>
    <x v="396"/>
    <x v="2"/>
  </r>
  <r>
    <n v="445"/>
    <x v="4"/>
    <x v="4"/>
    <n v="38.090000000000003"/>
    <n v="508.76"/>
    <n v="611.41999999999996"/>
    <n v="181.35"/>
    <n v="33.43"/>
    <x v="2"/>
    <x v="397"/>
    <x v="2"/>
  </r>
  <r>
    <n v="446"/>
    <x v="2"/>
    <x v="0"/>
    <n v="50.63"/>
    <n v="539.59"/>
    <n v="532.02"/>
    <n v="292.42"/>
    <n v="29.24"/>
    <x v="0"/>
    <x v="398"/>
    <x v="2"/>
  </r>
  <r>
    <n v="447"/>
    <x v="4"/>
    <x v="2"/>
    <n v="50.89"/>
    <n v="491.66"/>
    <n v="395.19"/>
    <n v="194.79"/>
    <n v="30.12"/>
    <x v="1"/>
    <x v="399"/>
    <x v="2"/>
  </r>
  <r>
    <n v="448"/>
    <x v="2"/>
    <x v="1"/>
    <n v="128.79"/>
    <n v="518.57000000000005"/>
    <n v="587.84"/>
    <n v="168.26"/>
    <n v="25.58"/>
    <x v="2"/>
    <x v="400"/>
    <x v="2"/>
  </r>
  <r>
    <n v="449"/>
    <x v="3"/>
    <x v="1"/>
    <n v="47.71"/>
    <n v="519.73"/>
    <n v="547.15"/>
    <n v="238.83"/>
    <n v="28"/>
    <x v="2"/>
    <x v="401"/>
    <x v="2"/>
  </r>
  <r>
    <n v="450"/>
    <x v="4"/>
    <x v="0"/>
    <n v="50.9"/>
    <n v="418.73"/>
    <n v="382.38"/>
    <n v="197.19"/>
    <n v="24.85"/>
    <x v="2"/>
    <x v="402"/>
    <x v="2"/>
  </r>
  <r>
    <n v="452"/>
    <x v="4"/>
    <x v="3"/>
    <n v="45.45"/>
    <n v="624.78"/>
    <n v="420.87"/>
    <n v="252.05"/>
    <n v="31.89"/>
    <x v="0"/>
    <x v="403"/>
    <x v="2"/>
  </r>
  <r>
    <n v="453"/>
    <x v="1"/>
    <x v="0"/>
    <n v="41.98"/>
    <n v="618.99"/>
    <n v="796.02"/>
    <n v="162.65"/>
    <n v="28.22"/>
    <x v="1"/>
    <x v="404"/>
    <x v="2"/>
  </r>
  <r>
    <n v="454"/>
    <x v="1"/>
    <x v="4"/>
    <n v="62.99"/>
    <n v="601.37"/>
    <n v="543.80999999999995"/>
    <n v="202.18"/>
    <n v="23.5"/>
    <x v="2"/>
    <x v="405"/>
    <x v="2"/>
  </r>
  <r>
    <n v="455"/>
    <x v="1"/>
    <x v="3"/>
    <n v="40.19"/>
    <n v="342.5"/>
    <n v="502.41"/>
    <n v="196.59"/>
    <n v="40.89"/>
    <x v="0"/>
    <x v="406"/>
    <x v="2"/>
  </r>
  <r>
    <n v="456"/>
    <x v="3"/>
    <x v="2"/>
    <n v="36.72"/>
    <n v="592.61"/>
    <n v="536.72"/>
    <n v="211.51"/>
    <n v="24.38"/>
    <x v="1"/>
    <x v="407"/>
    <x v="2"/>
  </r>
  <r>
    <n v="457"/>
    <x v="4"/>
    <x v="1"/>
    <n v="56.8"/>
    <n v="565.55999999999995"/>
    <n v="645.5"/>
    <n v="90.45"/>
    <n v="35.46"/>
    <x v="2"/>
    <x v="408"/>
    <x v="2"/>
  </r>
  <r>
    <n v="458"/>
    <x v="2"/>
    <x v="2"/>
    <n v="61.58"/>
    <n v="346.35"/>
    <n v="469.99"/>
    <n v="183.25"/>
    <n v="22.62"/>
    <x v="0"/>
    <x v="409"/>
    <x v="2"/>
  </r>
  <r>
    <n v="459"/>
    <x v="1"/>
    <x v="3"/>
    <n v="45.49"/>
    <n v="478.51"/>
    <n v="409.21"/>
    <n v="256.24"/>
    <n v="32.28"/>
    <x v="1"/>
    <x v="410"/>
    <x v="2"/>
  </r>
  <r>
    <n v="460"/>
    <x v="4"/>
    <x v="1"/>
    <n v="45.64"/>
    <n v="527.67999999999995"/>
    <n v="581.30999999999995"/>
    <n v="263.27"/>
    <n v="28.75"/>
    <x v="0"/>
    <x v="411"/>
    <x v="2"/>
  </r>
  <r>
    <n v="461"/>
    <x v="2"/>
    <x v="1"/>
    <n v="52.83"/>
    <n v="666.43"/>
    <n v="459.01"/>
    <n v="150.44"/>
    <n v="26.85"/>
    <x v="2"/>
    <x v="412"/>
    <x v="2"/>
  </r>
  <r>
    <n v="462"/>
    <x v="4"/>
    <x v="1"/>
    <n v="42.92"/>
    <n v="572.47"/>
    <n v="351.61"/>
    <n v="246.03"/>
    <n v="30.98"/>
    <x v="0"/>
    <x v="413"/>
    <x v="2"/>
  </r>
  <r>
    <n v="463"/>
    <x v="3"/>
    <x v="0"/>
    <n v="42.18"/>
    <n v="413.54"/>
    <n v="328.24"/>
    <n v="161.93"/>
    <n v="30.31"/>
    <x v="2"/>
    <x v="414"/>
    <x v="2"/>
  </r>
  <r>
    <n v="464"/>
    <x v="4"/>
    <x v="0"/>
    <n v="58.8"/>
    <n v="669.54"/>
    <n v="663.52"/>
    <n v="181.27"/>
    <n v="25.94"/>
    <x v="2"/>
    <x v="415"/>
    <x v="2"/>
  </r>
  <r>
    <n v="465"/>
    <x v="1"/>
    <x v="1"/>
    <n v="56.07"/>
    <n v="504.38"/>
    <n v="495.8"/>
    <n v="183.9"/>
    <n v="25.71"/>
    <x v="2"/>
    <x v="416"/>
    <x v="2"/>
  </r>
  <r>
    <n v="466"/>
    <x v="1"/>
    <x v="4"/>
    <n v="63.11"/>
    <n v="474.42"/>
    <n v="409.25"/>
    <n v="205.44"/>
    <n v="22.13"/>
    <x v="1"/>
    <x v="417"/>
    <x v="2"/>
  </r>
  <r>
    <n v="467"/>
    <x v="0"/>
    <x v="1"/>
    <n v="37.47"/>
    <n v="467.29"/>
    <n v="451.88"/>
    <n v="250.07"/>
    <n v="31.53"/>
    <x v="0"/>
    <x v="418"/>
    <x v="2"/>
  </r>
  <r>
    <n v="468"/>
    <x v="4"/>
    <x v="1"/>
    <n v="44.98"/>
    <n v="337.64"/>
    <n v="576.89"/>
    <n v="213.23"/>
    <n v="23.73"/>
    <x v="2"/>
    <x v="419"/>
    <x v="2"/>
  </r>
  <r>
    <n v="469"/>
    <x v="2"/>
    <x v="0"/>
    <n v="52.81"/>
    <n v="489.02"/>
    <n v="444.79"/>
    <n v="193.69"/>
    <n v="30.02"/>
    <x v="2"/>
    <x v="420"/>
    <x v="2"/>
  </r>
  <r>
    <n v="470"/>
    <x v="1"/>
    <x v="0"/>
    <n v="40.74"/>
    <n v="549.75"/>
    <n v="306.07"/>
    <n v="248.37"/>
    <n v="32.96"/>
    <x v="1"/>
    <x v="421"/>
    <x v="2"/>
  </r>
  <r>
    <n v="471"/>
    <x v="0"/>
    <x v="1"/>
    <n v="56.42"/>
    <n v="461.46"/>
    <n v="519.1"/>
    <n v="159.87"/>
    <n v="31.04"/>
    <x v="2"/>
    <x v="422"/>
    <x v="2"/>
  </r>
  <r>
    <n v="472"/>
    <x v="1"/>
    <x v="2"/>
    <n v="62.25"/>
    <n v="542.04999999999995"/>
    <n v="625"/>
    <n v="196.14"/>
    <n v="26.38"/>
    <x v="0"/>
    <x v="423"/>
    <x v="2"/>
  </r>
  <r>
    <n v="473"/>
    <x v="0"/>
    <x v="3"/>
    <n v="44.17"/>
    <n v="413.56"/>
    <n v="616.98"/>
    <n v="249.79"/>
    <n v="34.54"/>
    <x v="2"/>
    <x v="424"/>
    <x v="2"/>
  </r>
  <r>
    <n v="474"/>
    <x v="1"/>
    <x v="0"/>
    <n v="178.94"/>
    <n v="485.91"/>
    <n v="412.88"/>
    <n v="226.47"/>
    <n v="27.96"/>
    <x v="2"/>
    <x v="425"/>
    <x v="2"/>
  </r>
  <r>
    <n v="475"/>
    <x v="4"/>
    <x v="4"/>
    <n v="64.56"/>
    <n v="531.65"/>
    <n v="632.29999999999995"/>
    <n v="176.68"/>
    <n v="23.33"/>
    <x v="2"/>
    <x v="426"/>
    <x v="2"/>
  </r>
  <r>
    <n v="476"/>
    <x v="4"/>
    <x v="4"/>
    <n v="67.989999999999995"/>
    <n v="518.97"/>
    <n v="505.55"/>
    <n v="124.35"/>
    <n v="28.58"/>
    <x v="2"/>
    <x v="427"/>
    <x v="2"/>
  </r>
  <r>
    <n v="477"/>
    <x v="0"/>
    <x v="0"/>
    <n v="57.46"/>
    <n v="339.45"/>
    <n v="628.94000000000005"/>
    <n v="215.54"/>
    <n v="32.93"/>
    <x v="2"/>
    <x v="428"/>
    <x v="2"/>
  </r>
  <r>
    <n v="478"/>
    <x v="3"/>
    <x v="4"/>
    <n v="55.93"/>
    <n v="456.1"/>
    <n v="548.84"/>
    <n v="121.07"/>
    <n v="26.63"/>
    <x v="2"/>
    <x v="429"/>
    <x v="2"/>
  </r>
  <r>
    <n v="479"/>
    <x v="2"/>
    <x v="2"/>
    <n v="41.46"/>
    <n v="667.75"/>
    <n v="297.41000000000003"/>
    <n v="189.37"/>
    <n v="34.39"/>
    <x v="2"/>
    <x v="430"/>
    <x v="2"/>
  </r>
  <r>
    <n v="480"/>
    <x v="2"/>
    <x v="1"/>
    <n v="53.59"/>
    <n v="450.76"/>
    <n v="689.61"/>
    <n v="258.95"/>
    <n v="26.15"/>
    <x v="1"/>
    <x v="431"/>
    <x v="2"/>
  </r>
  <r>
    <n v="481"/>
    <x v="0"/>
    <x v="4"/>
    <n v="55.57"/>
    <n v="501.58"/>
    <n v="486.21"/>
    <n v="229.84"/>
    <n v="26.83"/>
    <x v="0"/>
    <x v="432"/>
    <x v="2"/>
  </r>
  <r>
    <n v="482"/>
    <x v="4"/>
    <x v="1"/>
    <n v="47.9"/>
    <n v="491.32"/>
    <n v="549.22"/>
    <n v="98.82"/>
    <n v="24.77"/>
    <x v="1"/>
    <x v="433"/>
    <x v="2"/>
  </r>
  <r>
    <n v="483"/>
    <x v="4"/>
    <x v="4"/>
    <n v="44.05"/>
    <n v="656.82"/>
    <n v="318.70999999999998"/>
    <n v="210.02"/>
    <n v="33.42"/>
    <x v="2"/>
    <x v="434"/>
    <x v="2"/>
  </r>
  <r>
    <n v="484"/>
    <x v="2"/>
    <x v="3"/>
    <n v="37.19"/>
    <n v="629.04"/>
    <n v="540.64"/>
    <n v="184.04"/>
    <n v="29.73"/>
    <x v="1"/>
    <x v="435"/>
    <x v="2"/>
  </r>
  <r>
    <n v="485"/>
    <x v="2"/>
    <x v="3"/>
    <n v="32.619999999999997"/>
    <n v="580.75"/>
    <n v="612.35"/>
    <n v="136.31"/>
    <n v="25.1"/>
    <x v="0"/>
    <x v="436"/>
    <x v="2"/>
  </r>
  <r>
    <n v="487"/>
    <x v="3"/>
    <x v="1"/>
    <n v="55.79"/>
    <n v="535.91999999999996"/>
    <n v="648.04999999999995"/>
    <n v="175.41"/>
    <n v="14.64"/>
    <x v="0"/>
    <x v="437"/>
    <x v="2"/>
  </r>
  <r>
    <n v="488"/>
    <x v="1"/>
    <x v="0"/>
    <n v="228.7"/>
    <n v="556.79"/>
    <n v="546.51"/>
    <n v="175.72"/>
    <n v="33.89"/>
    <x v="0"/>
    <x v="438"/>
    <x v="2"/>
  </r>
  <r>
    <n v="489"/>
    <x v="4"/>
    <x v="1"/>
    <n v="45.16"/>
    <n v="430.14"/>
    <n v="294.67"/>
    <n v="206.2"/>
    <n v="29.15"/>
    <x v="2"/>
    <x v="439"/>
    <x v="2"/>
  </r>
  <r>
    <n v="491"/>
    <x v="4"/>
    <x v="2"/>
    <n v="52.1"/>
    <n v="670.5"/>
    <n v="408.9"/>
    <n v="204.79"/>
    <n v="22.72"/>
    <x v="0"/>
    <x v="440"/>
    <x v="2"/>
  </r>
  <r>
    <n v="492"/>
    <x v="1"/>
    <x v="1"/>
    <n v="48.35"/>
    <n v="469.92"/>
    <n v="508.2"/>
    <n v="170.33"/>
    <n v="27.89"/>
    <x v="2"/>
    <x v="441"/>
    <x v="2"/>
  </r>
  <r>
    <n v="493"/>
    <x v="4"/>
    <x v="2"/>
    <n v="36.590000000000003"/>
    <n v="661.5"/>
    <n v="334.04"/>
    <n v="173.08"/>
    <n v="23.43"/>
    <x v="2"/>
    <x v="442"/>
    <x v="2"/>
  </r>
  <r>
    <n v="494"/>
    <x v="4"/>
    <x v="3"/>
    <n v="59.13"/>
    <n v="599.71"/>
    <n v="454.78"/>
    <n v="249.65"/>
    <n v="33.97"/>
    <x v="0"/>
    <x v="443"/>
    <x v="2"/>
  </r>
  <r>
    <n v="496"/>
    <x v="4"/>
    <x v="1"/>
    <n v="52.66"/>
    <n v="545.25"/>
    <n v="414.22"/>
    <n v="114.57"/>
    <n v="31.8"/>
    <x v="1"/>
    <x v="34"/>
    <x v="1"/>
  </r>
  <r>
    <n v="497"/>
    <x v="1"/>
    <x v="1"/>
    <n v="58.38"/>
    <n v="359.96"/>
    <n v="415.41"/>
    <n v="237.35"/>
    <n v="16.98"/>
    <x v="2"/>
    <x v="444"/>
    <x v="2"/>
  </r>
  <r>
    <n v="498"/>
    <x v="0"/>
    <x v="2"/>
    <n v="41.86"/>
    <n v="520.67999999999995"/>
    <n v="463.7"/>
    <n v="269.93"/>
    <n v="27.37"/>
    <x v="0"/>
    <x v="445"/>
    <x v="2"/>
  </r>
  <r>
    <n v="499"/>
    <x v="4"/>
    <x v="0"/>
    <n v="62.14"/>
    <n v="641.70000000000005"/>
    <n v="514.34"/>
    <n v="277.87"/>
    <n v="26.51"/>
    <x v="0"/>
    <x v="446"/>
    <x v="2"/>
  </r>
  <r>
    <n v="500"/>
    <x v="4"/>
    <x v="3"/>
    <n v="48.6"/>
    <n v="568.13"/>
    <n v="180.18"/>
    <n v="226.02"/>
    <n v="25.23"/>
    <x v="1"/>
    <x v="447"/>
    <x v="2"/>
  </r>
  <r>
    <n v="501"/>
    <x v="2"/>
    <x v="3"/>
    <n v="58.89"/>
    <n v="515.42999999999995"/>
    <n v="194.83"/>
    <n v="147.13"/>
    <n v="27.92"/>
    <x v="1"/>
    <x v="448"/>
    <x v="2"/>
  </r>
  <r>
    <n v="503"/>
    <x v="3"/>
    <x v="2"/>
    <n v="39.61"/>
    <n v="481.5"/>
    <n v="456.27"/>
    <n v="156.54"/>
    <n v="31.08"/>
    <x v="2"/>
    <x v="449"/>
    <x v="2"/>
  </r>
  <r>
    <n v="504"/>
    <x v="0"/>
    <x v="2"/>
    <n v="55.03"/>
    <n v="438.04"/>
    <n v="502.69"/>
    <n v="182.85"/>
    <n v="33.83"/>
    <x v="2"/>
    <x v="450"/>
    <x v="2"/>
  </r>
  <r>
    <n v="505"/>
    <x v="1"/>
    <x v="1"/>
    <n v="53.26"/>
    <n v="515.38"/>
    <n v="392.68"/>
    <n v="219.15"/>
    <n v="33.4"/>
    <x v="1"/>
    <x v="451"/>
    <x v="2"/>
  </r>
  <r>
    <n v="506"/>
    <x v="1"/>
    <x v="1"/>
    <n v="50.3"/>
    <n v="576.65"/>
    <n v="481.14"/>
    <n v="159.76"/>
    <n v="29.31"/>
    <x v="1"/>
    <x v="452"/>
    <x v="2"/>
  </r>
  <r>
    <n v="507"/>
    <x v="1"/>
    <x v="4"/>
    <n v="49.06"/>
    <n v="328.22"/>
    <n v="495.18"/>
    <n v="142.68"/>
    <n v="40"/>
    <x v="1"/>
    <x v="453"/>
    <x v="2"/>
  </r>
  <r>
    <n v="508"/>
    <x v="0"/>
    <x v="4"/>
    <n v="49.14"/>
    <n v="528.49"/>
    <n v="391.85"/>
    <n v="223.29"/>
    <n v="35.700000000000003"/>
    <x v="0"/>
    <x v="454"/>
    <x v="2"/>
  </r>
  <r>
    <n v="509"/>
    <x v="0"/>
    <x v="1"/>
    <n v="58.13"/>
    <n v="581.03"/>
    <n v="601.61"/>
    <n v="293.36"/>
    <n v="29.49"/>
    <x v="2"/>
    <x v="455"/>
    <x v="2"/>
  </r>
  <r>
    <n v="510"/>
    <x v="0"/>
    <x v="3"/>
    <n v="55.78"/>
    <n v="473.04"/>
    <n v="501.24"/>
    <n v="262.16000000000003"/>
    <n v="27.59"/>
    <x v="2"/>
    <x v="456"/>
    <x v="2"/>
  </r>
  <r>
    <n v="511"/>
    <x v="1"/>
    <x v="1"/>
    <n v="50.3"/>
    <n v="610.70000000000005"/>
    <n v="545.64"/>
    <n v="235.36"/>
    <n v="36.69"/>
    <x v="2"/>
    <x v="457"/>
    <x v="2"/>
  </r>
  <r>
    <n v="512"/>
    <x v="2"/>
    <x v="2"/>
    <n v="35.08"/>
    <n v="564.12"/>
    <n v="488.26"/>
    <n v="248.96"/>
    <n v="35.04"/>
    <x v="2"/>
    <x v="458"/>
    <x v="2"/>
  </r>
  <r>
    <n v="513"/>
    <x v="0"/>
    <x v="0"/>
    <n v="54.94"/>
    <n v="714.14"/>
    <n v="732.44"/>
    <n v="231.89"/>
    <n v="22.95"/>
    <x v="2"/>
    <x v="459"/>
    <x v="2"/>
  </r>
  <r>
    <n v="515"/>
    <x v="1"/>
    <x v="3"/>
    <n v="73"/>
    <n v="583.07000000000005"/>
    <n v="421.44"/>
    <n v="244.93"/>
    <n v="29.23"/>
    <x v="1"/>
    <x v="460"/>
    <x v="2"/>
  </r>
  <r>
    <n v="516"/>
    <x v="0"/>
    <x v="4"/>
    <n v="60.75"/>
    <n v="398.27"/>
    <n v="578.52"/>
    <n v="131.58000000000001"/>
    <n v="25.7"/>
    <x v="0"/>
    <x v="461"/>
    <x v="2"/>
  </r>
  <r>
    <n v="517"/>
    <x v="4"/>
    <x v="2"/>
    <n v="31.01"/>
    <n v="338.46"/>
    <n v="283.49"/>
    <n v="209.97"/>
    <n v="20.100000000000001"/>
    <x v="0"/>
    <x v="462"/>
    <x v="2"/>
  </r>
  <r>
    <n v="518"/>
    <x v="2"/>
    <x v="1"/>
    <n v="50.78"/>
    <n v="296.45"/>
    <n v="494.35"/>
    <n v="195.95"/>
    <n v="28.66"/>
    <x v="2"/>
    <x v="463"/>
    <x v="2"/>
  </r>
  <r>
    <n v="520"/>
    <x v="2"/>
    <x v="4"/>
    <n v="56.24"/>
    <n v="518.41999999999996"/>
    <n v="495.72"/>
    <n v="176.93"/>
    <n v="37.94"/>
    <x v="0"/>
    <x v="464"/>
    <x v="2"/>
  </r>
  <r>
    <n v="521"/>
    <x v="0"/>
    <x v="0"/>
    <n v="53.29"/>
    <n v="452.09"/>
    <n v="439.95"/>
    <n v="226.02"/>
    <n v="34.79"/>
    <x v="1"/>
    <x v="34"/>
    <x v="1"/>
  </r>
  <r>
    <n v="523"/>
    <x v="2"/>
    <x v="1"/>
    <n v="43.78"/>
    <n v="430.96"/>
    <n v="385.28"/>
    <n v="173.31"/>
    <n v="31.95"/>
    <x v="0"/>
    <x v="465"/>
    <x v="2"/>
  </r>
  <r>
    <n v="524"/>
    <x v="0"/>
    <x v="3"/>
    <n v="54.78"/>
    <n v="500.41"/>
    <n v="492.25"/>
    <n v="167.31"/>
    <n v="34.130000000000003"/>
    <x v="2"/>
    <x v="466"/>
    <x v="2"/>
  </r>
  <r>
    <n v="525"/>
    <x v="4"/>
    <x v="0"/>
    <n v="47.5"/>
    <n v="579.32000000000005"/>
    <n v="346.38"/>
    <n v="243.2"/>
    <n v="30.43"/>
    <x v="0"/>
    <x v="467"/>
    <x v="2"/>
  </r>
  <r>
    <n v="526"/>
    <x v="4"/>
    <x v="1"/>
    <n v="49.8"/>
    <n v="498.35"/>
    <n v="692.42"/>
    <n v="199.41"/>
    <n v="27.06"/>
    <x v="0"/>
    <x v="468"/>
    <x v="2"/>
  </r>
  <r>
    <n v="527"/>
    <x v="3"/>
    <x v="4"/>
    <n v="58.28"/>
    <n v="525.21"/>
    <n v="163.09"/>
    <n v="176.96"/>
    <n v="27.34"/>
    <x v="2"/>
    <x v="34"/>
    <x v="1"/>
  </r>
  <r>
    <n v="528"/>
    <x v="1"/>
    <x v="1"/>
    <n v="40.729999999999997"/>
    <n v="462.39"/>
    <n v="441.19"/>
    <n v="181.33"/>
    <n v="31.93"/>
    <x v="0"/>
    <x v="469"/>
    <x v="2"/>
  </r>
  <r>
    <n v="529"/>
    <x v="2"/>
    <x v="3"/>
    <n v="62.88"/>
    <n v="674.92"/>
    <n v="493.25"/>
    <n v="200.19"/>
    <n v="32.06"/>
    <x v="0"/>
    <x v="470"/>
    <x v="2"/>
  </r>
  <r>
    <n v="530"/>
    <x v="3"/>
    <x v="1"/>
    <n v="45.77"/>
    <n v="398.18"/>
    <n v="540.89"/>
    <n v="281.11"/>
    <n v="28.54"/>
    <x v="1"/>
    <x v="471"/>
    <x v="2"/>
  </r>
  <r>
    <n v="531"/>
    <x v="0"/>
    <x v="1"/>
    <n v="263.02999999999997"/>
    <n v="1720.3"/>
    <n v="370.09"/>
    <n v="138.16999999999999"/>
    <n v="16.899999999999999"/>
    <x v="0"/>
    <x v="472"/>
    <x v="2"/>
  </r>
  <r>
    <n v="532"/>
    <x v="4"/>
    <x v="1"/>
    <n v="35.99"/>
    <n v="450.76"/>
    <n v="616.12"/>
    <n v="233.78"/>
    <n v="23.55"/>
    <x v="0"/>
    <x v="473"/>
    <x v="2"/>
  </r>
  <r>
    <n v="533"/>
    <x v="2"/>
    <x v="4"/>
    <n v="57.2"/>
    <n v="554.27"/>
    <n v="312.74"/>
    <n v="223.59"/>
    <n v="33.1"/>
    <x v="1"/>
    <x v="474"/>
    <x v="2"/>
  </r>
  <r>
    <n v="534"/>
    <x v="4"/>
    <x v="4"/>
    <n v="64.47"/>
    <n v="396.11"/>
    <n v="412.06"/>
    <n v="155.85"/>
    <n v="19.350000000000001"/>
    <x v="0"/>
    <x v="475"/>
    <x v="2"/>
  </r>
  <r>
    <n v="535"/>
    <x v="1"/>
    <x v="0"/>
    <n v="44.85"/>
    <n v="513.57000000000005"/>
    <n v="554.49"/>
    <n v="273.33999999999997"/>
    <n v="35.92"/>
    <x v="1"/>
    <x v="476"/>
    <x v="2"/>
  </r>
  <r>
    <n v="536"/>
    <x v="4"/>
    <x v="4"/>
    <n v="38.9"/>
    <n v="516.49"/>
    <n v="604.82000000000005"/>
    <n v="226.96"/>
    <n v="35.18"/>
    <x v="1"/>
    <x v="477"/>
    <x v="2"/>
  </r>
  <r>
    <n v="537"/>
    <x v="1"/>
    <x v="2"/>
    <n v="52.78"/>
    <n v="430.56"/>
    <n v="311.52"/>
    <n v="174.61"/>
    <n v="30.21"/>
    <x v="1"/>
    <x v="478"/>
    <x v="2"/>
  </r>
  <r>
    <n v="538"/>
    <x v="4"/>
    <x v="3"/>
    <n v="194.73"/>
    <n v="533"/>
    <n v="797.4"/>
    <n v="107.03"/>
    <n v="32.99"/>
    <x v="0"/>
    <x v="479"/>
    <x v="2"/>
  </r>
  <r>
    <n v="539"/>
    <x v="2"/>
    <x v="3"/>
    <n v="35.5"/>
    <n v="399.22"/>
    <n v="372.3"/>
    <n v="211.46"/>
    <n v="32.64"/>
    <x v="2"/>
    <x v="480"/>
    <x v="2"/>
  </r>
  <r>
    <n v="540"/>
    <x v="2"/>
    <x v="1"/>
    <n v="38.94"/>
    <n v="388.29"/>
    <n v="322.54000000000002"/>
    <n v="197.76"/>
    <n v="29.42"/>
    <x v="0"/>
    <x v="481"/>
    <x v="2"/>
  </r>
  <r>
    <n v="541"/>
    <x v="1"/>
    <x v="1"/>
    <n v="45.46"/>
    <n v="509.96"/>
    <n v="540.33000000000004"/>
    <n v="148.46"/>
    <n v="23.13"/>
    <x v="1"/>
    <x v="482"/>
    <x v="2"/>
  </r>
  <r>
    <n v="542"/>
    <x v="0"/>
    <x v="3"/>
    <n v="41.8"/>
    <n v="334.02"/>
    <n v="438.2"/>
    <n v="147.82"/>
    <n v="34.840000000000003"/>
    <x v="2"/>
    <x v="483"/>
    <x v="2"/>
  </r>
  <r>
    <n v="544"/>
    <x v="1"/>
    <x v="0"/>
    <n v="29.06"/>
    <n v="553.28"/>
    <n v="551.48"/>
    <n v="102.22"/>
    <n v="23.96"/>
    <x v="1"/>
    <x v="484"/>
    <x v="2"/>
  </r>
  <r>
    <n v="545"/>
    <x v="4"/>
    <x v="4"/>
    <n v="279.45"/>
    <n v="2419.59"/>
    <n v="296.72000000000003"/>
    <n v="215.71"/>
    <n v="22.94"/>
    <x v="2"/>
    <x v="485"/>
    <x v="2"/>
  </r>
  <r>
    <n v="547"/>
    <x v="1"/>
    <x v="4"/>
    <n v="33.01"/>
    <n v="433.19"/>
    <n v="408.31"/>
    <n v="224.86"/>
    <n v="26.87"/>
    <x v="0"/>
    <x v="486"/>
    <x v="2"/>
  </r>
  <r>
    <n v="549"/>
    <x v="4"/>
    <x v="2"/>
    <n v="66.81"/>
    <n v="385.45"/>
    <n v="413.51"/>
    <n v="214.66"/>
    <n v="36.04"/>
    <x v="1"/>
    <x v="487"/>
    <x v="2"/>
  </r>
  <r>
    <n v="550"/>
    <x v="4"/>
    <x v="1"/>
    <n v="42.49"/>
    <n v="363.66"/>
    <n v="671.9"/>
    <n v="162.86000000000001"/>
    <n v="18.77"/>
    <x v="2"/>
    <x v="488"/>
    <x v="2"/>
  </r>
  <r>
    <n v="551"/>
    <x v="4"/>
    <x v="4"/>
    <n v="61.67"/>
    <n v="570.76"/>
    <n v="624.12"/>
    <n v="197.54"/>
    <n v="37.909999999999997"/>
    <x v="2"/>
    <x v="489"/>
    <x v="2"/>
  </r>
  <r>
    <n v="552"/>
    <x v="1"/>
    <x v="3"/>
    <n v="44.27"/>
    <n v="500.9"/>
    <n v="513.95000000000005"/>
    <n v="224.45"/>
    <n v="27.97"/>
    <x v="2"/>
    <x v="490"/>
    <x v="2"/>
  </r>
  <r>
    <n v="553"/>
    <x v="1"/>
    <x v="1"/>
    <n v="51.81"/>
    <n v="606.49"/>
    <n v="520.77"/>
    <n v="207.54"/>
    <n v="32.56"/>
    <x v="1"/>
    <x v="491"/>
    <x v="2"/>
  </r>
  <r>
    <n v="554"/>
    <x v="1"/>
    <x v="1"/>
    <n v="41.64"/>
    <n v="285.97000000000003"/>
    <n v="513.84"/>
    <n v="219.02"/>
    <n v="33.090000000000003"/>
    <x v="2"/>
    <x v="492"/>
    <x v="2"/>
  </r>
  <r>
    <n v="555"/>
    <x v="1"/>
    <x v="1"/>
    <n v="72.14"/>
    <n v="359.93"/>
    <n v="499.17"/>
    <n v="153.6"/>
    <n v="33.68"/>
    <x v="0"/>
    <x v="493"/>
    <x v="2"/>
  </r>
  <r>
    <n v="556"/>
    <x v="1"/>
    <x v="4"/>
    <n v="47.04"/>
    <n v="501.43"/>
    <n v="436.05"/>
    <n v="170.47"/>
    <n v="30.31"/>
    <x v="1"/>
    <x v="494"/>
    <x v="2"/>
  </r>
  <r>
    <n v="557"/>
    <x v="2"/>
    <x v="3"/>
    <n v="51.26"/>
    <n v="541.77"/>
    <n v="449.98"/>
    <n v="171.33"/>
    <n v="31.48"/>
    <x v="1"/>
    <x v="495"/>
    <x v="2"/>
  </r>
  <r>
    <n v="558"/>
    <x v="2"/>
    <x v="2"/>
    <n v="43.12"/>
    <n v="584.70000000000005"/>
    <n v="351.6"/>
    <n v="186.18"/>
    <n v="31.45"/>
    <x v="1"/>
    <x v="496"/>
    <x v="2"/>
  </r>
  <r>
    <n v="560"/>
    <x v="4"/>
    <x v="3"/>
    <n v="68.87"/>
    <n v="516.47"/>
    <n v="612.49"/>
    <n v="182.29"/>
    <n v="21.21"/>
    <x v="2"/>
    <x v="497"/>
    <x v="2"/>
  </r>
  <r>
    <n v="561"/>
    <x v="1"/>
    <x v="4"/>
    <n v="66.31"/>
    <n v="461.06"/>
    <n v="498.87"/>
    <n v="142.82"/>
    <n v="23.9"/>
    <x v="2"/>
    <x v="498"/>
    <x v="2"/>
  </r>
  <r>
    <n v="562"/>
    <x v="2"/>
    <x v="1"/>
    <n v="59.56"/>
    <n v="659.09"/>
    <n v="480.75"/>
    <n v="227.08"/>
    <n v="29.48"/>
    <x v="0"/>
    <x v="499"/>
    <x v="2"/>
  </r>
  <r>
    <n v="563"/>
    <x v="3"/>
    <x v="0"/>
    <n v="43.75"/>
    <n v="389.7"/>
    <n v="527.80999999999995"/>
    <n v="267.33"/>
    <n v="26.07"/>
    <x v="0"/>
    <x v="500"/>
    <x v="2"/>
  </r>
  <r>
    <n v="564"/>
    <x v="0"/>
    <x v="1"/>
    <n v="58.28"/>
    <n v="535.9"/>
    <n v="380.59"/>
    <n v="136.94"/>
    <n v="26.08"/>
    <x v="1"/>
    <x v="501"/>
    <x v="2"/>
  </r>
  <r>
    <n v="566"/>
    <x v="3"/>
    <x v="0"/>
    <n v="63.12"/>
    <n v="553.48"/>
    <n v="445.96"/>
    <n v="220.76"/>
    <n v="34.29"/>
    <x v="2"/>
    <x v="502"/>
    <x v="2"/>
  </r>
  <r>
    <n v="567"/>
    <x v="1"/>
    <x v="3"/>
    <n v="61.16"/>
    <n v="396.3"/>
    <n v="644.16999999999996"/>
    <n v="251.69"/>
    <n v="28.74"/>
    <x v="1"/>
    <x v="503"/>
    <x v="2"/>
  </r>
  <r>
    <n v="568"/>
    <x v="2"/>
    <x v="2"/>
    <n v="43.51"/>
    <n v="574.38"/>
    <n v="339.75"/>
    <n v="273.35000000000002"/>
    <n v="33.36"/>
    <x v="1"/>
    <x v="504"/>
    <x v="2"/>
  </r>
  <r>
    <n v="569"/>
    <x v="1"/>
    <x v="1"/>
    <n v="59.48"/>
    <n v="511.21"/>
    <n v="164.75"/>
    <n v="248.63"/>
    <n v="27.9"/>
    <x v="2"/>
    <x v="505"/>
    <x v="2"/>
  </r>
  <r>
    <n v="570"/>
    <x v="1"/>
    <x v="1"/>
    <n v="56.82"/>
    <n v="674.46"/>
    <n v="417.43"/>
    <n v="194.47"/>
    <n v="30.55"/>
    <x v="1"/>
    <x v="506"/>
    <x v="2"/>
  </r>
  <r>
    <n v="571"/>
    <x v="4"/>
    <x v="1"/>
    <n v="22.26"/>
    <n v="471.9"/>
    <n v="617.12"/>
    <n v="260.88"/>
    <n v="32.21"/>
    <x v="0"/>
    <x v="507"/>
    <x v="2"/>
  </r>
  <r>
    <n v="572"/>
    <x v="0"/>
    <x v="3"/>
    <n v="58.01"/>
    <n v="542.5"/>
    <n v="272.08999999999997"/>
    <n v="212.73"/>
    <n v="27.91"/>
    <x v="2"/>
    <x v="508"/>
    <x v="2"/>
  </r>
  <r>
    <n v="573"/>
    <x v="1"/>
    <x v="4"/>
    <n v="45.68"/>
    <n v="422.03"/>
    <n v="338.37"/>
    <n v="254.52"/>
    <n v="26.57"/>
    <x v="0"/>
    <x v="509"/>
    <x v="2"/>
  </r>
  <r>
    <n v="574"/>
    <x v="2"/>
    <x v="1"/>
    <n v="41.14"/>
    <n v="471.21"/>
    <n v="511.63"/>
    <n v="259.99"/>
    <n v="36.119999999999997"/>
    <x v="0"/>
    <x v="510"/>
    <x v="2"/>
  </r>
  <r>
    <n v="575"/>
    <x v="1"/>
    <x v="3"/>
    <n v="41.57"/>
    <n v="510.57"/>
    <n v="788.39"/>
    <n v="145.46"/>
    <n v="33.07"/>
    <x v="2"/>
    <x v="511"/>
    <x v="2"/>
  </r>
  <r>
    <n v="576"/>
    <x v="4"/>
    <x v="1"/>
    <n v="48.65"/>
    <n v="347.28"/>
    <n v="317.01"/>
    <n v="239.72"/>
    <n v="18.73"/>
    <x v="0"/>
    <x v="512"/>
    <x v="2"/>
  </r>
  <r>
    <n v="577"/>
    <x v="4"/>
    <x v="2"/>
    <n v="54.8"/>
    <n v="358.24"/>
    <n v="312.37"/>
    <n v="190.91"/>
    <n v="26.66"/>
    <x v="0"/>
    <x v="513"/>
    <x v="2"/>
  </r>
  <r>
    <n v="578"/>
    <x v="4"/>
    <x v="4"/>
    <n v="147.28"/>
    <n v="559.99"/>
    <n v="520.64"/>
    <n v="206.91"/>
    <n v="26.09"/>
    <x v="2"/>
    <x v="514"/>
    <x v="2"/>
  </r>
  <r>
    <n v="579"/>
    <x v="0"/>
    <x v="3"/>
    <n v="51.9"/>
    <n v="485.39"/>
    <n v="624.55999999999995"/>
    <n v="206.35"/>
    <n v="26.89"/>
    <x v="2"/>
    <x v="515"/>
    <x v="2"/>
  </r>
  <r>
    <n v="580"/>
    <x v="1"/>
    <x v="4"/>
    <n v="55.77"/>
    <n v="440.71"/>
    <n v="405.11"/>
    <n v="204.35"/>
    <n v="34.31"/>
    <x v="0"/>
    <x v="516"/>
    <x v="2"/>
  </r>
  <r>
    <n v="581"/>
    <x v="0"/>
    <x v="3"/>
    <n v="68.62"/>
    <n v="426.3"/>
    <n v="285.43"/>
    <n v="276.18"/>
    <n v="30.1"/>
    <x v="2"/>
    <x v="517"/>
    <x v="2"/>
  </r>
  <r>
    <n v="582"/>
    <x v="4"/>
    <x v="2"/>
    <n v="39.229999999999997"/>
    <n v="430.15"/>
    <n v="532.04999999999995"/>
    <n v="131.68"/>
    <n v="23.05"/>
    <x v="0"/>
    <x v="518"/>
    <x v="2"/>
  </r>
  <r>
    <n v="583"/>
    <x v="4"/>
    <x v="4"/>
    <n v="46.5"/>
    <n v="511.26"/>
    <n v="553.78"/>
    <n v="113.88"/>
    <n v="28.08"/>
    <x v="0"/>
    <x v="519"/>
    <x v="2"/>
  </r>
  <r>
    <n v="584"/>
    <x v="1"/>
    <x v="0"/>
    <n v="52.62"/>
    <n v="544.5"/>
    <n v="693.44"/>
    <n v="103.34"/>
    <n v="32.71"/>
    <x v="2"/>
    <x v="520"/>
    <x v="2"/>
  </r>
  <r>
    <n v="585"/>
    <x v="2"/>
    <x v="1"/>
    <n v="61.47"/>
    <n v="290.79000000000002"/>
    <n v="558.83000000000004"/>
    <n v="253.46"/>
    <n v="28.9"/>
    <x v="0"/>
    <x v="521"/>
    <x v="2"/>
  </r>
  <r>
    <n v="586"/>
    <x v="0"/>
    <x v="0"/>
    <n v="46.96"/>
    <n v="641.28"/>
    <n v="579.37"/>
    <n v="161.33000000000001"/>
    <n v="26.78"/>
    <x v="0"/>
    <x v="522"/>
    <x v="2"/>
  </r>
  <r>
    <n v="587"/>
    <x v="1"/>
    <x v="1"/>
    <n v="61.99"/>
    <n v="634.16999999999996"/>
    <n v="448.54"/>
    <n v="206.61"/>
    <n v="31.66"/>
    <x v="2"/>
    <x v="523"/>
    <x v="2"/>
  </r>
  <r>
    <n v="588"/>
    <x v="4"/>
    <x v="2"/>
    <n v="30.63"/>
    <n v="266.93"/>
    <n v="772.98"/>
    <n v="194.26"/>
    <n v="38.090000000000003"/>
    <x v="1"/>
    <x v="524"/>
    <x v="2"/>
  </r>
  <r>
    <n v="589"/>
    <x v="4"/>
    <x v="0"/>
    <n v="37.47"/>
    <n v="608.59"/>
    <n v="432.22"/>
    <n v="155.68"/>
    <n v="32.31"/>
    <x v="2"/>
    <x v="525"/>
    <x v="2"/>
  </r>
  <r>
    <n v="590"/>
    <x v="1"/>
    <x v="3"/>
    <n v="53.49"/>
    <n v="605.52"/>
    <n v="406.57"/>
    <n v="242.57"/>
    <n v="36.5"/>
    <x v="0"/>
    <x v="526"/>
    <x v="2"/>
  </r>
  <r>
    <n v="591"/>
    <x v="2"/>
    <x v="1"/>
    <n v="35.89"/>
    <n v="500.04"/>
    <n v="697.14"/>
    <n v="193.63"/>
    <n v="27.11"/>
    <x v="2"/>
    <x v="527"/>
    <x v="2"/>
  </r>
  <r>
    <n v="593"/>
    <x v="4"/>
    <x v="0"/>
    <n v="44.72"/>
    <n v="601.52"/>
    <n v="258.31"/>
    <n v="211.64"/>
    <n v="29.86"/>
    <x v="0"/>
    <x v="528"/>
    <x v="2"/>
  </r>
  <r>
    <n v="594"/>
    <x v="4"/>
    <x v="0"/>
    <n v="57.71"/>
    <n v="475.88"/>
    <n v="494.35"/>
    <n v="236.04"/>
    <n v="30.59"/>
    <x v="1"/>
    <x v="529"/>
    <x v="2"/>
  </r>
  <r>
    <n v="595"/>
    <x v="1"/>
    <x v="2"/>
    <n v="31.04"/>
    <n v="554.89"/>
    <n v="479.79"/>
    <n v="152.05000000000001"/>
    <n v="32.200000000000003"/>
    <x v="0"/>
    <x v="530"/>
    <x v="2"/>
  </r>
  <r>
    <n v="596"/>
    <x v="0"/>
    <x v="1"/>
    <n v="51.7"/>
    <n v="721.92"/>
    <n v="452.65"/>
    <n v="243.65"/>
    <n v="25.41"/>
    <x v="2"/>
    <x v="531"/>
    <x v="2"/>
  </r>
  <r>
    <n v="597"/>
    <x v="4"/>
    <x v="0"/>
    <n v="301.64999999999998"/>
    <n v="2100.73"/>
    <n v="599.27"/>
    <n v="272.49"/>
    <n v="33.24"/>
    <x v="0"/>
    <x v="532"/>
    <x v="2"/>
  </r>
  <r>
    <n v="598"/>
    <x v="0"/>
    <x v="0"/>
    <n v="48.05"/>
    <n v="408.31"/>
    <n v="371.02"/>
    <n v="128.69"/>
    <n v="21.86"/>
    <x v="2"/>
    <x v="533"/>
    <x v="2"/>
  </r>
  <r>
    <n v="600"/>
    <x v="4"/>
    <x v="3"/>
    <n v="54.02"/>
    <n v="421.06"/>
    <n v="436.79"/>
    <n v="184.75"/>
    <n v="40.68"/>
    <x v="2"/>
    <x v="534"/>
    <x v="2"/>
  </r>
  <r>
    <n v="601"/>
    <x v="4"/>
    <x v="4"/>
    <n v="48.08"/>
    <n v="543.35"/>
    <n v="373.05"/>
    <n v="234.96"/>
    <n v="27.45"/>
    <x v="1"/>
    <x v="535"/>
    <x v="2"/>
  </r>
  <r>
    <n v="602"/>
    <x v="3"/>
    <x v="4"/>
    <n v="63.9"/>
    <n v="419.39"/>
    <n v="472.58"/>
    <n v="139.16999999999999"/>
    <n v="33.65"/>
    <x v="0"/>
    <x v="536"/>
    <x v="2"/>
  </r>
  <r>
    <n v="603"/>
    <x v="4"/>
    <x v="1"/>
    <n v="38.89"/>
    <n v="452.71"/>
    <n v="582.30999999999995"/>
    <n v="281.45"/>
    <n v="38.49"/>
    <x v="2"/>
    <x v="537"/>
    <x v="2"/>
  </r>
  <r>
    <n v="604"/>
    <x v="1"/>
    <x v="1"/>
    <n v="49.48"/>
    <n v="371.56"/>
    <n v="734.47"/>
    <n v="119.61"/>
    <n v="18.43"/>
    <x v="0"/>
    <x v="538"/>
    <x v="2"/>
  </r>
  <r>
    <n v="605"/>
    <x v="1"/>
    <x v="3"/>
    <n v="52.06"/>
    <n v="486.79"/>
    <n v="549.53"/>
    <n v="187.79"/>
    <n v="35.630000000000003"/>
    <x v="0"/>
    <x v="539"/>
    <x v="2"/>
  </r>
  <r>
    <n v="606"/>
    <x v="1"/>
    <x v="2"/>
    <n v="46.22"/>
    <n v="517.67999999999995"/>
    <n v="178.7"/>
    <n v="221.71"/>
    <n v="33.24"/>
    <x v="0"/>
    <x v="540"/>
    <x v="2"/>
  </r>
  <r>
    <n v="607"/>
    <x v="0"/>
    <x v="2"/>
    <n v="21.29"/>
    <n v="231.52"/>
    <n v="475.42"/>
    <n v="165.68"/>
    <n v="38.200000000000003"/>
    <x v="0"/>
    <x v="541"/>
    <x v="2"/>
  </r>
  <r>
    <n v="609"/>
    <x v="4"/>
    <x v="0"/>
    <n v="59"/>
    <n v="495.43"/>
    <n v="592.35"/>
    <n v="211.11"/>
    <n v="37.26"/>
    <x v="0"/>
    <x v="542"/>
    <x v="2"/>
  </r>
  <r>
    <n v="611"/>
    <x v="0"/>
    <x v="0"/>
    <n v="53.55"/>
    <n v="702.86"/>
    <n v="630.37"/>
    <n v="200.3"/>
    <n v="35.270000000000003"/>
    <x v="2"/>
    <x v="543"/>
    <x v="2"/>
  </r>
  <r>
    <n v="612"/>
    <x v="3"/>
    <x v="1"/>
    <n v="39.020000000000003"/>
    <n v="595.85"/>
    <n v="527"/>
    <n v="242.93"/>
    <n v="29.82"/>
    <x v="0"/>
    <x v="544"/>
    <x v="2"/>
  </r>
  <r>
    <n v="613"/>
    <x v="0"/>
    <x v="4"/>
    <n v="53.95"/>
    <n v="390.36"/>
    <n v="667.06"/>
    <n v="180.28"/>
    <n v="33.85"/>
    <x v="0"/>
    <x v="545"/>
    <x v="2"/>
  </r>
  <r>
    <n v="615"/>
    <x v="4"/>
    <x v="1"/>
    <n v="53.53"/>
    <n v="624.45000000000005"/>
    <n v="497.32"/>
    <n v="174.67"/>
    <n v="20.8"/>
    <x v="2"/>
    <x v="546"/>
    <x v="2"/>
  </r>
  <r>
    <n v="616"/>
    <x v="3"/>
    <x v="0"/>
    <n v="51.22"/>
    <n v="513.20000000000005"/>
    <n v="579.20000000000005"/>
    <n v="157.53"/>
    <n v="14.4"/>
    <x v="0"/>
    <x v="547"/>
    <x v="2"/>
  </r>
  <r>
    <n v="617"/>
    <x v="0"/>
    <x v="3"/>
    <n v="40.24"/>
    <n v="536.14"/>
    <n v="411.34"/>
    <n v="185.76"/>
    <n v="31.05"/>
    <x v="2"/>
    <x v="548"/>
    <x v="2"/>
  </r>
  <r>
    <n v="618"/>
    <x v="1"/>
    <x v="1"/>
    <n v="41.08"/>
    <n v="533.83000000000004"/>
    <n v="385.2"/>
    <n v="175.06"/>
    <n v="28.68"/>
    <x v="0"/>
    <x v="549"/>
    <x v="2"/>
  </r>
  <r>
    <n v="620"/>
    <x v="1"/>
    <x v="3"/>
    <n v="47.79"/>
    <n v="481.31"/>
    <n v="390.09"/>
    <n v="258.27"/>
    <n v="28.74"/>
    <x v="0"/>
    <x v="550"/>
    <x v="2"/>
  </r>
  <r>
    <n v="621"/>
    <x v="3"/>
    <x v="1"/>
    <n v="41.6"/>
    <n v="476.11"/>
    <n v="542.71"/>
    <n v="187.29"/>
    <n v="40.090000000000003"/>
    <x v="1"/>
    <x v="551"/>
    <x v="2"/>
  </r>
  <r>
    <n v="623"/>
    <x v="1"/>
    <x v="1"/>
    <n v="46.96"/>
    <n v="533.37"/>
    <n v="293.27999999999997"/>
    <n v="201.4"/>
    <n v="27.77"/>
    <x v="2"/>
    <x v="552"/>
    <x v="2"/>
  </r>
  <r>
    <n v="624"/>
    <x v="0"/>
    <x v="1"/>
    <n v="65.680000000000007"/>
    <n v="470.24"/>
    <n v="703.53"/>
    <n v="205.21"/>
    <n v="31.69"/>
    <x v="0"/>
    <x v="553"/>
    <x v="2"/>
  </r>
  <r>
    <n v="625"/>
    <x v="3"/>
    <x v="1"/>
    <n v="124.4"/>
    <n v="490.99"/>
    <n v="392.99"/>
    <n v="140.66"/>
    <n v="27.86"/>
    <x v="0"/>
    <x v="554"/>
    <x v="2"/>
  </r>
  <r>
    <n v="626"/>
    <x v="1"/>
    <x v="1"/>
    <n v="49.86"/>
    <n v="602.34"/>
    <n v="504"/>
    <n v="185.08"/>
    <n v="30.46"/>
    <x v="2"/>
    <x v="555"/>
    <x v="2"/>
  </r>
  <r>
    <n v="627"/>
    <x v="1"/>
    <x v="1"/>
    <n v="51.02"/>
    <n v="481.54"/>
    <n v="301.3"/>
    <n v="183.07"/>
    <n v="23.91"/>
    <x v="0"/>
    <x v="556"/>
    <x v="2"/>
  </r>
  <r>
    <n v="628"/>
    <x v="4"/>
    <x v="0"/>
    <n v="38.69"/>
    <n v="430.18"/>
    <n v="491.29"/>
    <n v="191.39"/>
    <n v="29.96"/>
    <x v="2"/>
    <x v="557"/>
    <x v="2"/>
  </r>
  <r>
    <n v="629"/>
    <x v="3"/>
    <x v="3"/>
    <n v="32.369999999999997"/>
    <n v="472.43"/>
    <n v="393.72"/>
    <n v="236.28"/>
    <n v="27.61"/>
    <x v="1"/>
    <x v="558"/>
    <x v="2"/>
  </r>
  <r>
    <n v="630"/>
    <x v="2"/>
    <x v="1"/>
    <n v="39.729999999999997"/>
    <n v="594.07000000000005"/>
    <n v="292.43"/>
    <n v="206.83"/>
    <n v="24.39"/>
    <x v="2"/>
    <x v="559"/>
    <x v="2"/>
  </r>
  <r>
    <n v="631"/>
    <x v="1"/>
    <x v="0"/>
    <n v="52.47"/>
    <n v="549.62"/>
    <n v="640.42999999999995"/>
    <n v="261.39999999999998"/>
    <n v="39.880000000000003"/>
    <x v="1"/>
    <x v="560"/>
    <x v="2"/>
  </r>
  <r>
    <n v="632"/>
    <x v="1"/>
    <x v="0"/>
    <n v="254.37"/>
    <n v="2017.71"/>
    <n v="621.91"/>
    <n v="199.42"/>
    <n v="24.58"/>
    <x v="2"/>
    <x v="561"/>
    <x v="2"/>
  </r>
  <r>
    <n v="633"/>
    <x v="0"/>
    <x v="3"/>
    <n v="57.02"/>
    <n v="519.15"/>
    <n v="467.12"/>
    <n v="288.8"/>
    <n v="30.03"/>
    <x v="0"/>
    <x v="562"/>
    <x v="2"/>
  </r>
  <r>
    <n v="634"/>
    <x v="2"/>
    <x v="1"/>
    <n v="50.97"/>
    <n v="444.03"/>
    <n v="599.92999999999995"/>
    <n v="176.96"/>
    <n v="25.99"/>
    <x v="0"/>
    <x v="563"/>
    <x v="2"/>
  </r>
  <r>
    <n v="636"/>
    <x v="4"/>
    <x v="2"/>
    <n v="43.96"/>
    <n v="433.67"/>
    <n v="570.49"/>
    <n v="227.37"/>
    <n v="23.63"/>
    <x v="0"/>
    <x v="564"/>
    <x v="2"/>
  </r>
  <r>
    <n v="637"/>
    <x v="1"/>
    <x v="4"/>
    <n v="58.85"/>
    <n v="470.52"/>
    <n v="537.55999999999995"/>
    <n v="268.2"/>
    <n v="34.200000000000003"/>
    <x v="2"/>
    <x v="565"/>
    <x v="2"/>
  </r>
  <r>
    <n v="638"/>
    <x v="3"/>
    <x v="4"/>
    <n v="40.81"/>
    <n v="634.62"/>
    <n v="503.87"/>
    <n v="131.06"/>
    <n v="40.18"/>
    <x v="2"/>
    <x v="566"/>
    <x v="2"/>
  </r>
  <r>
    <n v="639"/>
    <x v="4"/>
    <x v="4"/>
    <n v="38.9"/>
    <n v="392.21"/>
    <n v="557.94000000000005"/>
    <n v="190.15"/>
    <n v="25.8"/>
    <x v="0"/>
    <x v="567"/>
    <x v="2"/>
  </r>
  <r>
    <n v="640"/>
    <x v="3"/>
    <x v="3"/>
    <n v="55.67"/>
    <n v="431.13"/>
    <n v="436.33"/>
    <n v="169.46"/>
    <n v="36.08"/>
    <x v="0"/>
    <x v="568"/>
    <x v="2"/>
  </r>
  <r>
    <n v="641"/>
    <x v="2"/>
    <x v="2"/>
    <n v="36.67"/>
    <n v="374.57"/>
    <n v="446.8"/>
    <n v="207.14"/>
    <n v="28.09"/>
    <x v="0"/>
    <x v="569"/>
    <x v="2"/>
  </r>
  <r>
    <n v="642"/>
    <x v="1"/>
    <x v="0"/>
    <n v="74.150000000000006"/>
    <n v="352.91"/>
    <n v="534.11"/>
    <n v="200.5"/>
    <n v="37.53"/>
    <x v="2"/>
    <x v="570"/>
    <x v="2"/>
  </r>
  <r>
    <n v="643"/>
    <x v="4"/>
    <x v="1"/>
    <n v="50.8"/>
    <n v="481.32"/>
    <n v="423.14"/>
    <n v="267.27"/>
    <n v="40.94"/>
    <x v="0"/>
    <x v="571"/>
    <x v="2"/>
  </r>
  <r>
    <n v="644"/>
    <x v="1"/>
    <x v="2"/>
    <n v="53.48"/>
    <n v="438.24"/>
    <n v="436.1"/>
    <n v="194.58"/>
    <n v="28.83"/>
    <x v="2"/>
    <x v="572"/>
    <x v="2"/>
  </r>
  <r>
    <n v="645"/>
    <x v="4"/>
    <x v="0"/>
    <n v="41.92"/>
    <n v="676.17"/>
    <n v="480.02"/>
    <n v="268.74"/>
    <n v="22.4"/>
    <x v="1"/>
    <x v="573"/>
    <x v="2"/>
  </r>
  <r>
    <n v="646"/>
    <x v="4"/>
    <x v="0"/>
    <n v="46.85"/>
    <n v="471.72"/>
    <n v="618.07000000000005"/>
    <n v="184.24"/>
    <n v="34.74"/>
    <x v="2"/>
    <x v="574"/>
    <x v="2"/>
  </r>
  <r>
    <n v="647"/>
    <x v="4"/>
    <x v="1"/>
    <n v="45.73"/>
    <n v="628.94000000000005"/>
    <n v="344.08"/>
    <n v="246.32"/>
    <n v="31.12"/>
    <x v="2"/>
    <x v="575"/>
    <x v="2"/>
  </r>
  <r>
    <n v="648"/>
    <x v="4"/>
    <x v="1"/>
    <n v="44.58"/>
    <n v="596.79999999999995"/>
    <n v="571.1"/>
    <n v="211.43"/>
    <n v="32.51"/>
    <x v="0"/>
    <x v="576"/>
    <x v="2"/>
  </r>
  <r>
    <n v="649"/>
    <x v="4"/>
    <x v="1"/>
    <n v="56.33"/>
    <n v="479.1"/>
    <n v="575.02"/>
    <n v="286.49"/>
    <n v="28.3"/>
    <x v="2"/>
    <x v="577"/>
    <x v="2"/>
  </r>
  <r>
    <n v="650"/>
    <x v="3"/>
    <x v="3"/>
    <n v="45.5"/>
    <n v="711.01"/>
    <n v="574.29999999999995"/>
    <n v="126.15"/>
    <n v="25.58"/>
    <x v="2"/>
    <x v="578"/>
    <x v="2"/>
  </r>
  <r>
    <n v="651"/>
    <x v="1"/>
    <x v="1"/>
    <n v="60.18"/>
    <n v="526.85"/>
    <n v="383.19"/>
    <n v="141.81"/>
    <n v="35.799999999999997"/>
    <x v="2"/>
    <x v="579"/>
    <x v="2"/>
  </r>
  <r>
    <n v="652"/>
    <x v="2"/>
    <x v="1"/>
    <n v="76.63"/>
    <n v="651.29999999999995"/>
    <n v="276.88"/>
    <n v="291.58"/>
    <n v="31.6"/>
    <x v="2"/>
    <x v="580"/>
    <x v="2"/>
  </r>
  <r>
    <n v="653"/>
    <x v="2"/>
    <x v="2"/>
    <n v="47.04"/>
    <n v="639.66"/>
    <n v="547.16"/>
    <n v="163.34"/>
    <n v="22.78"/>
    <x v="2"/>
    <x v="581"/>
    <x v="2"/>
  </r>
  <r>
    <n v="654"/>
    <x v="4"/>
    <x v="4"/>
    <n v="51.52"/>
    <n v="541.46"/>
    <n v="502.5"/>
    <n v="166.51"/>
    <n v="33.43"/>
    <x v="0"/>
    <x v="582"/>
    <x v="2"/>
  </r>
  <r>
    <n v="655"/>
    <x v="1"/>
    <x v="0"/>
    <n v="53.79"/>
    <n v="575.11"/>
    <n v="600.53"/>
    <n v="156.21"/>
    <n v="32.43"/>
    <x v="1"/>
    <x v="583"/>
    <x v="2"/>
  </r>
  <r>
    <n v="656"/>
    <x v="4"/>
    <x v="1"/>
    <n v="68.12"/>
    <n v="562.41"/>
    <n v="395.94"/>
    <n v="257.42"/>
    <n v="28.37"/>
    <x v="0"/>
    <x v="584"/>
    <x v="2"/>
  </r>
  <r>
    <n v="657"/>
    <x v="1"/>
    <x v="1"/>
    <n v="245.87"/>
    <n v="1542.3"/>
    <n v="571.21"/>
    <n v="137.33000000000001"/>
    <n v="38.1"/>
    <x v="2"/>
    <x v="585"/>
    <x v="2"/>
  </r>
  <r>
    <n v="658"/>
    <x v="3"/>
    <x v="1"/>
    <n v="41.71"/>
    <n v="505.73"/>
    <n v="606.53"/>
    <n v="201.12"/>
    <n v="26.91"/>
    <x v="2"/>
    <x v="586"/>
    <x v="2"/>
  </r>
  <r>
    <n v="659"/>
    <x v="1"/>
    <x v="4"/>
    <n v="37.340000000000003"/>
    <n v="607.41999999999996"/>
    <n v="468.56"/>
    <n v="186.72"/>
    <n v="29.16"/>
    <x v="0"/>
    <x v="587"/>
    <x v="2"/>
  </r>
  <r>
    <n v="660"/>
    <x v="0"/>
    <x v="4"/>
    <n v="49.42"/>
    <n v="652.62"/>
    <n v="530.03"/>
    <n v="251.83"/>
    <n v="33.840000000000003"/>
    <x v="1"/>
    <x v="588"/>
    <x v="2"/>
  </r>
  <r>
    <n v="661"/>
    <x v="1"/>
    <x v="1"/>
    <n v="227.58"/>
    <n v="1711.74"/>
    <n v="525.84"/>
    <n v="171.82"/>
    <n v="30.38"/>
    <x v="2"/>
    <x v="589"/>
    <x v="2"/>
  </r>
  <r>
    <n v="662"/>
    <x v="1"/>
    <x v="3"/>
    <n v="70.099999999999994"/>
    <n v="552.88"/>
    <n v="381.42"/>
    <n v="220.76"/>
    <n v="23.08"/>
    <x v="0"/>
    <x v="590"/>
    <x v="2"/>
  </r>
  <r>
    <n v="664"/>
    <x v="1"/>
    <x v="2"/>
    <n v="39.659999999999997"/>
    <n v="488.21"/>
    <n v="674.7"/>
    <n v="313.7"/>
    <n v="27.93"/>
    <x v="0"/>
    <x v="591"/>
    <x v="2"/>
  </r>
  <r>
    <n v="665"/>
    <x v="0"/>
    <x v="0"/>
    <n v="42.89"/>
    <n v="535.6"/>
    <n v="482.66"/>
    <n v="188.02"/>
    <n v="34.28"/>
    <x v="0"/>
    <x v="592"/>
    <x v="2"/>
  </r>
  <r>
    <n v="666"/>
    <x v="4"/>
    <x v="3"/>
    <n v="50.74"/>
    <n v="521.79999999999995"/>
    <n v="304.69"/>
    <n v="200.44"/>
    <n v="30.76"/>
    <x v="2"/>
    <x v="593"/>
    <x v="2"/>
  </r>
  <r>
    <n v="667"/>
    <x v="1"/>
    <x v="1"/>
    <n v="63.97"/>
    <n v="554.14"/>
    <n v="397.53"/>
    <n v="282.74"/>
    <n v="30.47"/>
    <x v="1"/>
    <x v="594"/>
    <x v="2"/>
  </r>
  <r>
    <n v="668"/>
    <x v="1"/>
    <x v="1"/>
    <n v="50.57"/>
    <n v="644.16999999999996"/>
    <n v="266.47000000000003"/>
    <n v="170.67"/>
    <n v="24.76"/>
    <x v="1"/>
    <x v="595"/>
    <x v="2"/>
  </r>
  <r>
    <n v="669"/>
    <x v="3"/>
    <x v="3"/>
    <n v="43.53"/>
    <n v="578.41"/>
    <n v="634.83000000000004"/>
    <n v="283.37"/>
    <n v="28.85"/>
    <x v="2"/>
    <x v="596"/>
    <x v="2"/>
  </r>
  <r>
    <n v="670"/>
    <x v="1"/>
    <x v="3"/>
    <n v="49.41"/>
    <n v="531.05999999999995"/>
    <n v="571.69000000000005"/>
    <n v="179.43"/>
    <n v="34.85"/>
    <x v="0"/>
    <x v="597"/>
    <x v="2"/>
  </r>
  <r>
    <n v="671"/>
    <x v="3"/>
    <x v="1"/>
    <n v="43.72"/>
    <n v="686.46"/>
    <n v="419.84"/>
    <n v="233.58"/>
    <n v="26.12"/>
    <x v="2"/>
    <x v="598"/>
    <x v="2"/>
  </r>
  <r>
    <n v="672"/>
    <x v="0"/>
    <x v="3"/>
    <n v="56.02"/>
    <n v="610.99"/>
    <n v="309.83"/>
    <n v="171.37"/>
    <n v="29.84"/>
    <x v="2"/>
    <x v="599"/>
    <x v="2"/>
  </r>
  <r>
    <n v="674"/>
    <x v="1"/>
    <x v="4"/>
    <n v="44.9"/>
    <n v="378.29"/>
    <n v="403.41"/>
    <n v="220.73"/>
    <n v="24.08"/>
    <x v="0"/>
    <x v="600"/>
    <x v="2"/>
  </r>
  <r>
    <n v="675"/>
    <x v="2"/>
    <x v="3"/>
    <n v="61.62"/>
    <n v="401.22"/>
    <n v="493.13"/>
    <n v="232"/>
    <n v="29.58"/>
    <x v="0"/>
    <x v="601"/>
    <x v="2"/>
  </r>
  <r>
    <n v="676"/>
    <x v="2"/>
    <x v="4"/>
    <n v="216.1"/>
    <n v="593.32000000000005"/>
    <n v="489.09"/>
    <n v="134.21"/>
    <n v="30.87"/>
    <x v="0"/>
    <x v="602"/>
    <x v="2"/>
  </r>
  <r>
    <n v="677"/>
    <x v="4"/>
    <x v="1"/>
    <n v="35.54"/>
    <n v="436.97"/>
    <n v="640.97"/>
    <n v="184.65"/>
    <n v="39.97"/>
    <x v="2"/>
    <x v="603"/>
    <x v="2"/>
  </r>
  <r>
    <n v="678"/>
    <x v="1"/>
    <x v="1"/>
    <n v="50.95"/>
    <n v="399.19"/>
    <n v="396.87"/>
    <n v="260.04000000000002"/>
    <n v="27.72"/>
    <x v="0"/>
    <x v="604"/>
    <x v="2"/>
  </r>
  <r>
    <n v="680"/>
    <x v="1"/>
    <x v="3"/>
    <n v="55.11"/>
    <n v="431.26"/>
    <n v="341.16"/>
    <n v="180.24"/>
    <n v="23.75"/>
    <x v="0"/>
    <x v="605"/>
    <x v="2"/>
  </r>
  <r>
    <n v="681"/>
    <x v="2"/>
    <x v="0"/>
    <n v="53.17"/>
    <n v="585.05999999999995"/>
    <n v="477.24"/>
    <n v="170.12"/>
    <n v="33.06"/>
    <x v="0"/>
    <x v="606"/>
    <x v="2"/>
  </r>
  <r>
    <n v="682"/>
    <x v="1"/>
    <x v="1"/>
    <n v="49.68"/>
    <n v="484.33"/>
    <n v="392.56"/>
    <n v="297.41000000000003"/>
    <n v="31.99"/>
    <x v="1"/>
    <x v="607"/>
    <x v="2"/>
  </r>
  <r>
    <n v="683"/>
    <x v="2"/>
    <x v="3"/>
    <n v="49.39"/>
    <n v="362.76"/>
    <n v="444.96"/>
    <n v="127.65"/>
    <n v="37.44"/>
    <x v="2"/>
    <x v="608"/>
    <x v="2"/>
  </r>
  <r>
    <n v="684"/>
    <x v="1"/>
    <x v="4"/>
    <n v="42.64"/>
    <n v="503.1"/>
    <n v="425.52"/>
    <n v="197.04"/>
    <n v="35.56"/>
    <x v="0"/>
    <x v="609"/>
    <x v="2"/>
  </r>
  <r>
    <n v="687"/>
    <x v="4"/>
    <x v="3"/>
    <n v="40.270000000000003"/>
    <n v="615.59"/>
    <n v="434.72"/>
    <n v="199.64"/>
    <n v="31.02"/>
    <x v="0"/>
    <x v="610"/>
    <x v="2"/>
  </r>
  <r>
    <n v="688"/>
    <x v="1"/>
    <x v="0"/>
    <n v="49.95"/>
    <n v="457.91"/>
    <n v="566.07000000000005"/>
    <n v="208.91"/>
    <n v="29.44"/>
    <x v="0"/>
    <x v="611"/>
    <x v="2"/>
  </r>
  <r>
    <n v="689"/>
    <x v="1"/>
    <x v="3"/>
    <n v="60.38"/>
    <n v="610.83000000000004"/>
    <n v="412.2"/>
    <n v="338.44"/>
    <n v="34.770000000000003"/>
    <x v="1"/>
    <x v="612"/>
    <x v="2"/>
  </r>
  <r>
    <n v="690"/>
    <x v="4"/>
    <x v="1"/>
    <n v="55.05"/>
    <n v="559.67999999999995"/>
    <n v="530.79"/>
    <n v="170.33"/>
    <n v="34.130000000000003"/>
    <x v="2"/>
    <x v="613"/>
    <x v="2"/>
  </r>
  <r>
    <n v="691"/>
    <x v="0"/>
    <x v="4"/>
    <n v="63.09"/>
    <n v="592.66"/>
    <n v="519.78"/>
    <n v="287.43"/>
    <n v="28.52"/>
    <x v="2"/>
    <x v="614"/>
    <x v="2"/>
  </r>
  <r>
    <n v="692"/>
    <x v="1"/>
    <x v="0"/>
    <n v="44.32"/>
    <n v="390.14"/>
    <n v="497.01"/>
    <n v="180.46"/>
    <n v="22.69"/>
    <x v="2"/>
    <x v="615"/>
    <x v="2"/>
  </r>
  <r>
    <n v="693"/>
    <x v="4"/>
    <x v="2"/>
    <n v="31.69"/>
    <n v="509.83"/>
    <n v="343.87"/>
    <n v="188.32"/>
    <n v="36.67"/>
    <x v="0"/>
    <x v="616"/>
    <x v="2"/>
  </r>
  <r>
    <n v="694"/>
    <x v="1"/>
    <x v="2"/>
    <n v="52.01"/>
    <n v="494.72"/>
    <n v="627.57000000000005"/>
    <n v="331.91"/>
    <n v="32.909999999999997"/>
    <x v="2"/>
    <x v="617"/>
    <x v="2"/>
  </r>
  <r>
    <n v="695"/>
    <x v="3"/>
    <x v="1"/>
    <n v="53.63"/>
    <n v="357.8"/>
    <n v="746.48"/>
    <n v="191.95"/>
    <n v="28.4"/>
    <x v="0"/>
    <x v="618"/>
    <x v="2"/>
  </r>
  <r>
    <n v="696"/>
    <x v="3"/>
    <x v="3"/>
    <n v="63.68"/>
    <n v="610.51"/>
    <n v="481.06"/>
    <n v="131.28"/>
    <n v="32.71"/>
    <x v="0"/>
    <x v="619"/>
    <x v="2"/>
  </r>
  <r>
    <n v="697"/>
    <x v="1"/>
    <x v="0"/>
    <n v="61.88"/>
    <n v="418.26"/>
    <n v="354.44"/>
    <n v="214.1"/>
    <n v="30.37"/>
    <x v="2"/>
    <x v="620"/>
    <x v="2"/>
  </r>
  <r>
    <n v="698"/>
    <x v="0"/>
    <x v="1"/>
    <n v="55.37"/>
    <n v="439.04"/>
    <n v="483.49"/>
    <n v="191.36"/>
    <n v="36.590000000000003"/>
    <x v="0"/>
    <x v="621"/>
    <x v="2"/>
  </r>
  <r>
    <n v="699"/>
    <x v="0"/>
    <x v="0"/>
    <n v="57.65"/>
    <n v="398.67"/>
    <n v="598.78"/>
    <n v="218.35"/>
    <n v="20.350000000000001"/>
    <x v="2"/>
    <x v="622"/>
    <x v="2"/>
  </r>
  <r>
    <n v="700"/>
    <x v="1"/>
    <x v="3"/>
    <n v="48.08"/>
    <n v="570.12"/>
    <n v="406.18"/>
    <n v="193.32"/>
    <n v="28.01"/>
    <x v="2"/>
    <x v="623"/>
    <x v="2"/>
  </r>
  <r>
    <n v="701"/>
    <x v="1"/>
    <x v="2"/>
    <n v="37.81"/>
    <n v="347.41"/>
    <n v="464.53"/>
    <n v="310.77999999999997"/>
    <n v="38"/>
    <x v="0"/>
    <x v="624"/>
    <x v="2"/>
  </r>
  <r>
    <n v="702"/>
    <x v="3"/>
    <x v="1"/>
    <n v="51.18"/>
    <n v="561.79"/>
    <n v="520.88"/>
    <n v="227.84"/>
    <n v="32.82"/>
    <x v="0"/>
    <x v="625"/>
    <x v="2"/>
  </r>
  <r>
    <n v="703"/>
    <x v="0"/>
    <x v="2"/>
    <n v="59.83"/>
    <n v="604.45000000000005"/>
    <n v="624.37"/>
    <n v="146.25"/>
    <n v="38.86"/>
    <x v="1"/>
    <x v="626"/>
    <x v="2"/>
  </r>
  <r>
    <n v="704"/>
    <x v="1"/>
    <x v="1"/>
    <n v="56.56"/>
    <n v="553.72"/>
    <n v="573.04999999999995"/>
    <n v="206.23"/>
    <n v="23.89"/>
    <x v="0"/>
    <x v="627"/>
    <x v="2"/>
  </r>
  <r>
    <n v="705"/>
    <x v="2"/>
    <x v="4"/>
    <n v="58.34"/>
    <n v="571.26"/>
    <n v="578.02"/>
    <n v="160.02000000000001"/>
    <n v="35.36"/>
    <x v="1"/>
    <x v="34"/>
    <x v="1"/>
  </r>
  <r>
    <n v="706"/>
    <x v="0"/>
    <x v="1"/>
    <n v="45.72"/>
    <n v="575.95000000000005"/>
    <n v="428.85"/>
    <n v="187.61"/>
    <n v="35.06"/>
    <x v="0"/>
    <x v="628"/>
    <x v="2"/>
  </r>
  <r>
    <n v="707"/>
    <x v="4"/>
    <x v="1"/>
    <n v="47.34"/>
    <n v="405.06"/>
    <n v="528.23"/>
    <n v="154.47999999999999"/>
    <n v="21.59"/>
    <x v="2"/>
    <x v="629"/>
    <x v="2"/>
  </r>
  <r>
    <n v="708"/>
    <x v="2"/>
    <x v="3"/>
    <n v="54.83"/>
    <n v="643.47"/>
    <n v="393.36"/>
    <n v="305.36"/>
    <n v="28.52"/>
    <x v="1"/>
    <x v="630"/>
    <x v="2"/>
  </r>
  <r>
    <n v="709"/>
    <x v="0"/>
    <x v="1"/>
    <n v="44.53"/>
    <n v="453.99"/>
    <n v="581.46"/>
    <n v="165.43"/>
    <n v="29.47"/>
    <x v="2"/>
    <x v="631"/>
    <x v="2"/>
  </r>
  <r>
    <n v="710"/>
    <x v="3"/>
    <x v="1"/>
    <n v="44.84"/>
    <n v="493.36"/>
    <n v="618.15"/>
    <n v="234.38"/>
    <n v="21.9"/>
    <x v="0"/>
    <x v="632"/>
    <x v="2"/>
  </r>
  <r>
    <n v="711"/>
    <x v="4"/>
    <x v="3"/>
    <n v="52.98"/>
    <n v="466.74"/>
    <n v="546.4"/>
    <n v="183.83"/>
    <n v="28.63"/>
    <x v="0"/>
    <x v="633"/>
    <x v="2"/>
  </r>
  <r>
    <n v="713"/>
    <x v="1"/>
    <x v="4"/>
    <n v="48"/>
    <n v="446.2"/>
    <n v="455.55"/>
    <n v="209.88"/>
    <n v="28.05"/>
    <x v="0"/>
    <x v="634"/>
    <x v="2"/>
  </r>
  <r>
    <n v="714"/>
    <x v="1"/>
    <x v="3"/>
    <n v="38.369999999999997"/>
    <n v="506.69"/>
    <n v="696.78"/>
    <n v="220.03"/>
    <n v="31.21"/>
    <x v="2"/>
    <x v="635"/>
    <x v="2"/>
  </r>
  <r>
    <n v="715"/>
    <x v="3"/>
    <x v="0"/>
    <n v="42.64"/>
    <n v="376.47"/>
    <n v="437.91"/>
    <n v="227.93"/>
    <n v="31.25"/>
    <x v="0"/>
    <x v="636"/>
    <x v="2"/>
  </r>
  <r>
    <n v="716"/>
    <x v="0"/>
    <x v="3"/>
    <n v="52.04"/>
    <n v="616.47"/>
    <n v="606"/>
    <n v="68.89"/>
    <n v="29.94"/>
    <x v="2"/>
    <x v="637"/>
    <x v="2"/>
  </r>
  <r>
    <n v="717"/>
    <x v="1"/>
    <x v="3"/>
    <n v="51.92"/>
    <n v="567.07000000000005"/>
    <n v="520.66999999999996"/>
    <n v="138.26"/>
    <n v="26.47"/>
    <x v="0"/>
    <x v="638"/>
    <x v="2"/>
  </r>
  <r>
    <n v="718"/>
    <x v="0"/>
    <x v="4"/>
    <n v="52.41"/>
    <n v="470.77"/>
    <n v="439.9"/>
    <n v="247.88"/>
    <n v="33.29"/>
    <x v="0"/>
    <x v="639"/>
    <x v="2"/>
  </r>
  <r>
    <n v="719"/>
    <x v="3"/>
    <x v="0"/>
    <n v="55.21"/>
    <n v="453.09"/>
    <n v="318.64"/>
    <n v="153.82"/>
    <n v="22.06"/>
    <x v="0"/>
    <x v="640"/>
    <x v="2"/>
  </r>
  <r>
    <n v="720"/>
    <x v="1"/>
    <x v="1"/>
    <n v="50.06"/>
    <n v="564.46"/>
    <n v="505.39"/>
    <n v="210.15"/>
    <n v="30.04"/>
    <x v="2"/>
    <x v="641"/>
    <x v="2"/>
  </r>
  <r>
    <n v="722"/>
    <x v="1"/>
    <x v="3"/>
    <n v="49.55"/>
    <n v="512.54"/>
    <n v="696.78"/>
    <n v="236.58"/>
    <n v="27.76"/>
    <x v="0"/>
    <x v="642"/>
    <x v="2"/>
  </r>
  <r>
    <n v="723"/>
    <x v="2"/>
    <x v="0"/>
    <n v="61.49"/>
    <n v="616.14"/>
    <n v="376.78"/>
    <n v="246.56"/>
    <n v="26.36"/>
    <x v="0"/>
    <x v="643"/>
    <x v="2"/>
  </r>
  <r>
    <n v="724"/>
    <x v="1"/>
    <x v="0"/>
    <n v="64.319999999999993"/>
    <n v="418.87"/>
    <n v="755.37"/>
    <n v="236.6"/>
    <n v="33.630000000000003"/>
    <x v="0"/>
    <x v="644"/>
    <x v="2"/>
  </r>
  <r>
    <n v="725"/>
    <x v="2"/>
    <x v="4"/>
    <n v="38.11"/>
    <n v="536.86"/>
    <n v="525.46"/>
    <n v="251.63"/>
    <n v="30.82"/>
    <x v="2"/>
    <x v="645"/>
    <x v="2"/>
  </r>
  <r>
    <n v="726"/>
    <x v="1"/>
    <x v="2"/>
    <n v="47.45"/>
    <n v="531.57000000000005"/>
    <n v="525.34"/>
    <n v="278.2"/>
    <n v="33.729999999999997"/>
    <x v="2"/>
    <x v="646"/>
    <x v="2"/>
  </r>
  <r>
    <n v="727"/>
    <x v="1"/>
    <x v="1"/>
    <n v="50.33"/>
    <n v="490.27"/>
    <n v="408.83"/>
    <n v="141.30000000000001"/>
    <n v="30.19"/>
    <x v="0"/>
    <x v="647"/>
    <x v="2"/>
  </r>
  <r>
    <n v="728"/>
    <x v="4"/>
    <x v="4"/>
    <n v="47.33"/>
    <n v="449.62"/>
    <n v="517.76"/>
    <n v="160.57"/>
    <n v="18.059999999999999"/>
    <x v="0"/>
    <x v="648"/>
    <x v="2"/>
  </r>
  <r>
    <n v="729"/>
    <x v="4"/>
    <x v="1"/>
    <n v="67.930000000000007"/>
    <n v="621.48"/>
    <n v="536.77"/>
    <n v="244.88"/>
    <n v="35.9"/>
    <x v="0"/>
    <x v="649"/>
    <x v="2"/>
  </r>
  <r>
    <n v="730"/>
    <x v="2"/>
    <x v="1"/>
    <n v="52.24"/>
    <n v="440.24"/>
    <n v="592.48"/>
    <n v="256.51"/>
    <n v="40.35"/>
    <x v="0"/>
    <x v="650"/>
    <x v="2"/>
  </r>
  <r>
    <n v="731"/>
    <x v="4"/>
    <x v="4"/>
    <n v="41.95"/>
    <n v="318.8"/>
    <n v="362.6"/>
    <n v="166.28"/>
    <n v="36.42"/>
    <x v="1"/>
    <x v="651"/>
    <x v="2"/>
  </r>
  <r>
    <n v="732"/>
    <x v="2"/>
    <x v="1"/>
    <n v="55.96"/>
    <n v="564.04999999999995"/>
    <n v="648.80999999999995"/>
    <n v="162.81"/>
    <n v="12.31"/>
    <x v="0"/>
    <x v="652"/>
    <x v="3"/>
  </r>
  <r>
    <n v="733"/>
    <x v="4"/>
    <x v="2"/>
    <n v="263.55"/>
    <n v="1519.48"/>
    <n v="523.37"/>
    <n v="167.39"/>
    <n v="32.26"/>
    <x v="0"/>
    <x v="653"/>
    <x v="3"/>
  </r>
  <r>
    <n v="735"/>
    <x v="3"/>
    <x v="2"/>
    <n v="68.08"/>
    <n v="633.49"/>
    <n v="453.49"/>
    <n v="136.43"/>
    <n v="24.58"/>
    <x v="0"/>
    <x v="654"/>
    <x v="3"/>
  </r>
  <r>
    <n v="737"/>
    <x v="1"/>
    <x v="3"/>
    <n v="46.96"/>
    <n v="607.14"/>
    <n v="488.73"/>
    <n v="185.3"/>
    <n v="29.26"/>
    <x v="0"/>
    <x v="655"/>
    <x v="3"/>
  </r>
  <r>
    <n v="738"/>
    <x v="3"/>
    <x v="4"/>
    <n v="30.45"/>
    <n v="702"/>
    <n v="502.48"/>
    <n v="213.54"/>
    <n v="32.54"/>
    <x v="2"/>
    <x v="656"/>
    <x v="3"/>
  </r>
  <r>
    <n v="739"/>
    <x v="3"/>
    <x v="1"/>
    <n v="48.35"/>
    <n v="596.67999999999995"/>
    <n v="313.75"/>
    <n v="221.67"/>
    <n v="30.28"/>
    <x v="0"/>
    <x v="657"/>
    <x v="3"/>
  </r>
  <r>
    <n v="740"/>
    <x v="4"/>
    <x v="2"/>
    <n v="63.06"/>
    <n v="533.05999999999995"/>
    <n v="575.19000000000005"/>
    <n v="174.57"/>
    <n v="24.4"/>
    <x v="2"/>
    <x v="658"/>
    <x v="3"/>
  </r>
  <r>
    <n v="741"/>
    <x v="2"/>
    <x v="1"/>
    <n v="49.09"/>
    <n v="663.39"/>
    <n v="599.58000000000004"/>
    <n v="175.8"/>
    <n v="27.12"/>
    <x v="0"/>
    <x v="659"/>
    <x v="3"/>
  </r>
  <r>
    <n v="742"/>
    <x v="0"/>
    <x v="1"/>
    <n v="27.6"/>
    <n v="675.48"/>
    <n v="392.44"/>
    <n v="206.18"/>
    <n v="26.31"/>
    <x v="2"/>
    <x v="660"/>
    <x v="3"/>
  </r>
  <r>
    <n v="743"/>
    <x v="1"/>
    <x v="4"/>
    <n v="45.02"/>
    <n v="676.88"/>
    <n v="357.29"/>
    <n v="125.2"/>
    <n v="21.42"/>
    <x v="2"/>
    <x v="661"/>
    <x v="3"/>
  </r>
  <r>
    <n v="744"/>
    <x v="4"/>
    <x v="1"/>
    <n v="59.93"/>
    <n v="450.79"/>
    <n v="443.64"/>
    <n v="247.97"/>
    <n v="23.14"/>
    <x v="0"/>
    <x v="662"/>
    <x v="3"/>
  </r>
  <r>
    <n v="745"/>
    <x v="4"/>
    <x v="0"/>
    <n v="220.32"/>
    <n v="364.6"/>
    <n v="482.87"/>
    <n v="264.27"/>
    <n v="28.94"/>
    <x v="1"/>
    <x v="663"/>
    <x v="3"/>
  </r>
  <r>
    <n v="746"/>
    <x v="0"/>
    <x v="1"/>
    <n v="41.6"/>
    <n v="444.68"/>
    <n v="448.3"/>
    <n v="168.72"/>
    <n v="37.119999999999997"/>
    <x v="1"/>
    <x v="664"/>
    <x v="3"/>
  </r>
  <r>
    <n v="747"/>
    <x v="1"/>
    <x v="4"/>
    <n v="44.35"/>
    <n v="570.36"/>
    <n v="472.69"/>
    <n v="180.08"/>
    <n v="27.32"/>
    <x v="2"/>
    <x v="665"/>
    <x v="3"/>
  </r>
  <r>
    <n v="748"/>
    <x v="1"/>
    <x v="4"/>
    <n v="45.89"/>
    <n v="515.91999999999996"/>
    <n v="506.58"/>
    <n v="262.17"/>
    <n v="26.21"/>
    <x v="2"/>
    <x v="666"/>
    <x v="3"/>
  </r>
  <r>
    <n v="749"/>
    <x v="4"/>
    <x v="3"/>
    <n v="43.37"/>
    <n v="479.35"/>
    <n v="315.81"/>
    <n v="193.85"/>
    <n v="24.09"/>
    <x v="0"/>
    <x v="667"/>
    <x v="3"/>
  </r>
  <r>
    <n v="750"/>
    <x v="2"/>
    <x v="2"/>
    <n v="135.09"/>
    <n v="556.04999999999995"/>
    <n v="329.6"/>
    <n v="229.41"/>
    <n v="30.15"/>
    <x v="2"/>
    <x v="668"/>
    <x v="3"/>
  </r>
  <r>
    <n v="752"/>
    <x v="1"/>
    <x v="4"/>
    <n v="62.57"/>
    <n v="514.12"/>
    <n v="593.11"/>
    <n v="277.82"/>
    <n v="40.01"/>
    <x v="2"/>
    <x v="669"/>
    <x v="3"/>
  </r>
  <r>
    <n v="753"/>
    <x v="4"/>
    <x v="1"/>
    <n v="34.82"/>
    <n v="611.85"/>
    <n v="481.83"/>
    <n v="224.5"/>
    <n v="31.43"/>
    <x v="0"/>
    <x v="670"/>
    <x v="3"/>
  </r>
  <r>
    <n v="754"/>
    <x v="1"/>
    <x v="1"/>
    <n v="62.44"/>
    <n v="554.92999999999995"/>
    <n v="605.74"/>
    <n v="227.38"/>
    <n v="30.7"/>
    <x v="2"/>
    <x v="671"/>
    <x v="3"/>
  </r>
  <r>
    <n v="755"/>
    <x v="4"/>
    <x v="1"/>
    <n v="48.97"/>
    <n v="569.17999999999995"/>
    <n v="343.47"/>
    <n v="228.32"/>
    <n v="27.28"/>
    <x v="1"/>
    <x v="672"/>
    <x v="3"/>
  </r>
  <r>
    <n v="756"/>
    <x v="3"/>
    <x v="1"/>
    <n v="62.25"/>
    <n v="659.74"/>
    <n v="482.93"/>
    <n v="172.24"/>
    <n v="28.12"/>
    <x v="0"/>
    <x v="673"/>
    <x v="3"/>
  </r>
  <r>
    <n v="758"/>
    <x v="4"/>
    <x v="1"/>
    <n v="51.36"/>
    <n v="434.69"/>
    <n v="412.59"/>
    <n v="238.46"/>
    <n v="28.43"/>
    <x v="0"/>
    <x v="674"/>
    <x v="3"/>
  </r>
  <r>
    <n v="759"/>
    <x v="1"/>
    <x v="1"/>
    <n v="53.72"/>
    <n v="618.95000000000005"/>
    <n v="293.58999999999997"/>
    <n v="206.32"/>
    <n v="29.19"/>
    <x v="2"/>
    <x v="675"/>
    <x v="3"/>
  </r>
  <r>
    <n v="760"/>
    <x v="1"/>
    <x v="1"/>
    <n v="42.1"/>
    <n v="617.11"/>
    <n v="689.5"/>
    <n v="141.12"/>
    <n v="29.87"/>
    <x v="0"/>
    <x v="676"/>
    <x v="3"/>
  </r>
  <r>
    <n v="762"/>
    <x v="4"/>
    <x v="2"/>
    <n v="38.79"/>
    <n v="483.96"/>
    <n v="434.17"/>
    <n v="248.9"/>
    <n v="29.63"/>
    <x v="1"/>
    <x v="677"/>
    <x v="3"/>
  </r>
  <r>
    <n v="764"/>
    <x v="1"/>
    <x v="3"/>
    <n v="55.24"/>
    <n v="372.32"/>
    <n v="421.83"/>
    <n v="186.32"/>
    <n v="32.74"/>
    <x v="0"/>
    <x v="678"/>
    <x v="3"/>
  </r>
  <r>
    <n v="765"/>
    <x v="1"/>
    <x v="1"/>
    <n v="44.91"/>
    <n v="611.29"/>
    <n v="360.55"/>
    <n v="209.93"/>
    <n v="41.76"/>
    <x v="1"/>
    <x v="679"/>
    <x v="3"/>
  </r>
  <r>
    <n v="766"/>
    <x v="4"/>
    <x v="1"/>
    <n v="57.78"/>
    <n v="607.77"/>
    <n v="699.27"/>
    <n v="225.88"/>
    <n v="27.24"/>
    <x v="2"/>
    <x v="680"/>
    <x v="3"/>
  </r>
  <r>
    <n v="767"/>
    <x v="0"/>
    <x v="4"/>
    <n v="63.76"/>
    <n v="368.83"/>
    <n v="281.36"/>
    <n v="98.35"/>
    <n v="31.87"/>
    <x v="0"/>
    <x v="681"/>
    <x v="3"/>
  </r>
  <r>
    <n v="768"/>
    <x v="1"/>
    <x v="0"/>
    <n v="60.13"/>
    <n v="586.76"/>
    <n v="445.74"/>
    <n v="305.62"/>
    <n v="34.26"/>
    <x v="1"/>
    <x v="682"/>
    <x v="3"/>
  </r>
  <r>
    <n v="769"/>
    <x v="2"/>
    <x v="2"/>
    <n v="30.64"/>
    <n v="540.41"/>
    <n v="490.12"/>
    <n v="160.51"/>
    <n v="36.4"/>
    <x v="2"/>
    <x v="683"/>
    <x v="3"/>
  </r>
  <r>
    <n v="770"/>
    <x v="2"/>
    <x v="4"/>
    <n v="51.26"/>
    <n v="397.8"/>
    <n v="678.15"/>
    <n v="199.9"/>
    <n v="28.68"/>
    <x v="1"/>
    <x v="684"/>
    <x v="3"/>
  </r>
  <r>
    <n v="771"/>
    <x v="1"/>
    <x v="4"/>
    <n v="60.29"/>
    <n v="379.4"/>
    <n v="587.59"/>
    <n v="201.74"/>
    <n v="20.98"/>
    <x v="2"/>
    <x v="685"/>
    <x v="3"/>
  </r>
  <r>
    <n v="772"/>
    <x v="1"/>
    <x v="0"/>
    <n v="36.83"/>
    <n v="537.35"/>
    <n v="279.33"/>
    <n v="299.83999999999997"/>
    <n v="31.34"/>
    <x v="0"/>
    <x v="686"/>
    <x v="3"/>
  </r>
  <r>
    <n v="773"/>
    <x v="0"/>
    <x v="4"/>
    <n v="57.24"/>
    <n v="460.23"/>
    <n v="479.67"/>
    <n v="195.59"/>
    <n v="30.64"/>
    <x v="0"/>
    <x v="687"/>
    <x v="3"/>
  </r>
  <r>
    <n v="774"/>
    <x v="0"/>
    <x v="1"/>
    <n v="56.67"/>
    <n v="681.99"/>
    <n v="482.53"/>
    <n v="279.43"/>
    <n v="28.27"/>
    <x v="1"/>
    <x v="688"/>
    <x v="3"/>
  </r>
  <r>
    <n v="775"/>
    <x v="4"/>
    <x v="3"/>
    <n v="37.880000000000003"/>
    <n v="595.26"/>
    <n v="452.6"/>
    <n v="220.34"/>
    <n v="29.33"/>
    <x v="0"/>
    <x v="689"/>
    <x v="3"/>
  </r>
  <r>
    <n v="776"/>
    <x v="0"/>
    <x v="1"/>
    <n v="189.77"/>
    <n v="547.37"/>
    <n v="554.38"/>
    <n v="151.91"/>
    <n v="30.72"/>
    <x v="1"/>
    <x v="690"/>
    <x v="3"/>
  </r>
  <r>
    <n v="777"/>
    <x v="2"/>
    <x v="2"/>
    <n v="52.73"/>
    <n v="552.30999999999995"/>
    <n v="310.91000000000003"/>
    <n v="206.74"/>
    <n v="31.81"/>
    <x v="2"/>
    <x v="691"/>
    <x v="3"/>
  </r>
  <r>
    <n v="778"/>
    <x v="3"/>
    <x v="2"/>
    <n v="56.5"/>
    <n v="633.09"/>
    <n v="430.96"/>
    <n v="194.07"/>
    <n v="31.6"/>
    <x v="0"/>
    <x v="692"/>
    <x v="3"/>
  </r>
  <r>
    <n v="780"/>
    <x v="0"/>
    <x v="2"/>
    <n v="51.5"/>
    <n v="549.98"/>
    <n v="561.54999999999995"/>
    <n v="217.89"/>
    <n v="31.92"/>
    <x v="1"/>
    <x v="693"/>
    <x v="3"/>
  </r>
  <r>
    <n v="781"/>
    <x v="4"/>
    <x v="1"/>
    <n v="32.950000000000003"/>
    <n v="401.97"/>
    <n v="497.93"/>
    <n v="201.11"/>
    <n v="28.57"/>
    <x v="0"/>
    <x v="694"/>
    <x v="3"/>
  </r>
  <r>
    <n v="782"/>
    <x v="2"/>
    <x v="4"/>
    <n v="27.23"/>
    <n v="806.19"/>
    <n v="445.39"/>
    <n v="227.82"/>
    <n v="33.21"/>
    <x v="2"/>
    <x v="695"/>
    <x v="3"/>
  </r>
  <r>
    <n v="783"/>
    <x v="3"/>
    <x v="1"/>
    <n v="51.41"/>
    <n v="389.68"/>
    <n v="465.61"/>
    <n v="209.67"/>
    <n v="26.86"/>
    <x v="2"/>
    <x v="696"/>
    <x v="3"/>
  </r>
  <r>
    <n v="784"/>
    <x v="4"/>
    <x v="0"/>
    <n v="61.01"/>
    <n v="468.75"/>
    <n v="568.85"/>
    <n v="167.44"/>
    <n v="30.37"/>
    <x v="2"/>
    <x v="697"/>
    <x v="3"/>
  </r>
  <r>
    <n v="785"/>
    <x v="4"/>
    <x v="1"/>
    <n v="52.53"/>
    <n v="334.53"/>
    <n v="484.07"/>
    <n v="238.42"/>
    <n v="21.88"/>
    <x v="2"/>
    <x v="698"/>
    <x v="3"/>
  </r>
  <r>
    <n v="786"/>
    <x v="3"/>
    <x v="4"/>
    <n v="49.37"/>
    <n v="553.88"/>
    <n v="354.98"/>
    <n v="168.78"/>
    <n v="28.15"/>
    <x v="2"/>
    <x v="699"/>
    <x v="3"/>
  </r>
  <r>
    <n v="787"/>
    <x v="2"/>
    <x v="3"/>
    <n v="48.12"/>
    <n v="515.11"/>
    <n v="331.98"/>
    <n v="45.02"/>
    <n v="32.840000000000003"/>
    <x v="0"/>
    <x v="700"/>
    <x v="3"/>
  </r>
  <r>
    <n v="790"/>
    <x v="1"/>
    <x v="1"/>
    <n v="54.22"/>
    <n v="611.29"/>
    <n v="576.9"/>
    <n v="219.11"/>
    <n v="17.97"/>
    <x v="2"/>
    <x v="701"/>
    <x v="3"/>
  </r>
  <r>
    <n v="791"/>
    <x v="1"/>
    <x v="3"/>
    <n v="45.65"/>
    <n v="419.26"/>
    <n v="467.22"/>
    <n v="299.94"/>
    <n v="23.16"/>
    <x v="2"/>
    <x v="702"/>
    <x v="3"/>
  </r>
  <r>
    <n v="792"/>
    <x v="4"/>
    <x v="1"/>
    <n v="57.51"/>
    <n v="485.1"/>
    <n v="425.54"/>
    <n v="301.39"/>
    <n v="24.47"/>
    <x v="0"/>
    <x v="703"/>
    <x v="3"/>
  </r>
  <r>
    <n v="793"/>
    <x v="0"/>
    <x v="1"/>
    <n v="51.96"/>
    <n v="593.16"/>
    <n v="411.13"/>
    <n v="191.74"/>
    <n v="30.51"/>
    <x v="2"/>
    <x v="704"/>
    <x v="3"/>
  </r>
  <r>
    <n v="794"/>
    <x v="4"/>
    <x v="3"/>
    <n v="53.17"/>
    <n v="526.13"/>
    <n v="611.19000000000005"/>
    <n v="158.66999999999999"/>
    <n v="31.67"/>
    <x v="0"/>
    <x v="705"/>
    <x v="3"/>
  </r>
  <r>
    <n v="796"/>
    <x v="0"/>
    <x v="4"/>
    <n v="44.73"/>
    <n v="579.91999999999996"/>
    <n v="407.35"/>
    <n v="181.49"/>
    <n v="28.09"/>
    <x v="0"/>
    <x v="706"/>
    <x v="3"/>
  </r>
  <r>
    <n v="797"/>
    <x v="0"/>
    <x v="1"/>
    <n v="56.59"/>
    <n v="542.88"/>
    <n v="616.61"/>
    <n v="219.59"/>
    <n v="28.1"/>
    <x v="2"/>
    <x v="707"/>
    <x v="3"/>
  </r>
  <r>
    <n v="798"/>
    <x v="1"/>
    <x v="1"/>
    <n v="46.14"/>
    <n v="465.89"/>
    <n v="483.36"/>
    <n v="166.96"/>
    <n v="33.58"/>
    <x v="2"/>
    <x v="708"/>
    <x v="3"/>
  </r>
  <r>
    <n v="799"/>
    <x v="2"/>
    <x v="4"/>
    <n v="53.4"/>
    <n v="483.35"/>
    <n v="454.51"/>
    <n v="212.53"/>
    <n v="31.06"/>
    <x v="1"/>
    <x v="709"/>
    <x v="3"/>
  </r>
  <r>
    <n v="800"/>
    <x v="1"/>
    <x v="1"/>
    <n v="43.54"/>
    <n v="521.19000000000005"/>
    <n v="660.51"/>
    <n v="159.4"/>
    <n v="28.33"/>
    <x v="2"/>
    <x v="710"/>
    <x v="3"/>
  </r>
  <r>
    <n v="801"/>
    <x v="2"/>
    <x v="4"/>
    <n v="40.89"/>
    <n v="410.44"/>
    <n v="478.78"/>
    <n v="259.20999999999998"/>
    <n v="36.47"/>
    <x v="0"/>
    <x v="711"/>
    <x v="3"/>
  </r>
  <r>
    <n v="802"/>
    <x v="1"/>
    <x v="0"/>
    <n v="50.92"/>
    <n v="599.6"/>
    <n v="515.55999999999995"/>
    <n v="170.5"/>
    <n v="39.75"/>
    <x v="2"/>
    <x v="712"/>
    <x v="3"/>
  </r>
  <r>
    <n v="803"/>
    <x v="3"/>
    <x v="2"/>
    <n v="31.15"/>
    <n v="528.87"/>
    <n v="509.79"/>
    <n v="233.06"/>
    <n v="23.77"/>
    <x v="2"/>
    <x v="713"/>
    <x v="3"/>
  </r>
  <r>
    <n v="804"/>
    <x v="1"/>
    <x v="3"/>
    <n v="47.04"/>
    <n v="507.48"/>
    <n v="284.93"/>
    <n v="136.76"/>
    <n v="32.61"/>
    <x v="2"/>
    <x v="714"/>
    <x v="3"/>
  </r>
  <r>
    <n v="805"/>
    <x v="0"/>
    <x v="1"/>
    <n v="33.94"/>
    <n v="619.25"/>
    <n v="514.61"/>
    <n v="239.06"/>
    <n v="45.45"/>
    <x v="2"/>
    <x v="715"/>
    <x v="3"/>
  </r>
  <r>
    <n v="806"/>
    <x v="4"/>
    <x v="1"/>
    <n v="57.79"/>
    <n v="487.99"/>
    <n v="412.48"/>
    <n v="151.68"/>
    <n v="31.4"/>
    <x v="2"/>
    <x v="716"/>
    <x v="3"/>
  </r>
  <r>
    <n v="807"/>
    <x v="1"/>
    <x v="0"/>
    <n v="60.5"/>
    <n v="481.76"/>
    <n v="309.45999999999998"/>
    <n v="213.06"/>
    <n v="30.58"/>
    <x v="1"/>
    <x v="717"/>
    <x v="3"/>
  </r>
  <r>
    <n v="808"/>
    <x v="2"/>
    <x v="3"/>
    <n v="41.36"/>
    <n v="451.54"/>
    <n v="417.94"/>
    <n v="251.16"/>
    <n v="29.72"/>
    <x v="1"/>
    <x v="34"/>
    <x v="1"/>
  </r>
  <r>
    <n v="809"/>
    <x v="0"/>
    <x v="0"/>
    <n v="54.28"/>
    <n v="534.30999999999995"/>
    <n v="416.95"/>
    <n v="190"/>
    <n v="32.450000000000003"/>
    <x v="2"/>
    <x v="718"/>
    <x v="3"/>
  </r>
  <r>
    <n v="810"/>
    <x v="1"/>
    <x v="3"/>
    <n v="58.99"/>
    <n v="530.85"/>
    <n v="603.59"/>
    <n v="148.54"/>
    <n v="33.770000000000003"/>
    <x v="2"/>
    <x v="719"/>
    <x v="3"/>
  </r>
  <r>
    <n v="811"/>
    <x v="1"/>
    <x v="3"/>
    <n v="59.02"/>
    <n v="433.37"/>
    <n v="352.35"/>
    <n v="224.84"/>
    <n v="23.78"/>
    <x v="0"/>
    <x v="720"/>
    <x v="3"/>
  </r>
  <r>
    <n v="812"/>
    <x v="1"/>
    <x v="4"/>
    <n v="52.14"/>
    <n v="482.23"/>
    <n v="385.22"/>
    <n v="157.94999999999999"/>
    <n v="29.87"/>
    <x v="0"/>
    <x v="721"/>
    <x v="3"/>
  </r>
  <r>
    <n v="813"/>
    <x v="4"/>
    <x v="1"/>
    <n v="57.34"/>
    <n v="434.04"/>
    <n v="508.25"/>
    <n v="179.79"/>
    <n v="18.649999999999999"/>
    <x v="0"/>
    <x v="722"/>
    <x v="3"/>
  </r>
  <r>
    <n v="814"/>
    <x v="1"/>
    <x v="0"/>
    <n v="43.51"/>
    <n v="429.51"/>
    <n v="320.89999999999998"/>
    <n v="213.27"/>
    <n v="28.95"/>
    <x v="0"/>
    <x v="723"/>
    <x v="3"/>
  </r>
  <r>
    <n v="815"/>
    <x v="4"/>
    <x v="0"/>
    <n v="50.83"/>
    <n v="327.01"/>
    <n v="400.92"/>
    <n v="268.02999999999997"/>
    <n v="25.49"/>
    <x v="2"/>
    <x v="724"/>
    <x v="3"/>
  </r>
  <r>
    <n v="817"/>
    <x v="0"/>
    <x v="1"/>
    <n v="42.66"/>
    <n v="329.78"/>
    <n v="590.4"/>
    <n v="201.14"/>
    <n v="21.72"/>
    <x v="2"/>
    <x v="725"/>
    <x v="3"/>
  </r>
  <r>
    <n v="818"/>
    <x v="1"/>
    <x v="1"/>
    <n v="50.36"/>
    <n v="453.72"/>
    <n v="443.84"/>
    <n v="236.88"/>
    <n v="27.44"/>
    <x v="2"/>
    <x v="726"/>
    <x v="3"/>
  </r>
  <r>
    <n v="819"/>
    <x v="1"/>
    <x v="1"/>
    <n v="53.48"/>
    <n v="438.73"/>
    <n v="478.09"/>
    <n v="202.52"/>
    <n v="34.83"/>
    <x v="2"/>
    <x v="727"/>
    <x v="3"/>
  </r>
  <r>
    <n v="820"/>
    <x v="1"/>
    <x v="4"/>
    <n v="61.64"/>
    <n v="605.19000000000005"/>
    <n v="589.91999999999996"/>
    <n v="231.78"/>
    <n v="26.62"/>
    <x v="2"/>
    <x v="728"/>
    <x v="3"/>
  </r>
  <r>
    <n v="821"/>
    <x v="2"/>
    <x v="2"/>
    <n v="52.65"/>
    <n v="398.51"/>
    <n v="393.33"/>
    <n v="253.93"/>
    <n v="20.48"/>
    <x v="2"/>
    <x v="729"/>
    <x v="3"/>
  </r>
  <r>
    <n v="822"/>
    <x v="1"/>
    <x v="4"/>
    <n v="56.42"/>
    <n v="423.88"/>
    <n v="442.56"/>
    <n v="183.61"/>
    <n v="31.29"/>
    <x v="1"/>
    <x v="730"/>
    <x v="3"/>
  </r>
  <r>
    <n v="823"/>
    <x v="4"/>
    <x v="1"/>
    <n v="282.66000000000003"/>
    <n v="1847.39"/>
    <n v="353.24"/>
    <n v="36.25"/>
    <n v="27.07"/>
    <x v="2"/>
    <x v="731"/>
    <x v="3"/>
  </r>
  <r>
    <n v="824"/>
    <x v="1"/>
    <x v="3"/>
    <n v="76.88"/>
    <n v="441.99"/>
    <n v="352.98"/>
    <n v="159.1"/>
    <n v="29.07"/>
    <x v="2"/>
    <x v="732"/>
    <x v="3"/>
  </r>
  <r>
    <n v="825"/>
    <x v="3"/>
    <x v="0"/>
    <n v="31.9"/>
    <n v="636.92999999999995"/>
    <n v="369.53"/>
    <n v="260.43"/>
    <n v="26.35"/>
    <x v="2"/>
    <x v="733"/>
    <x v="3"/>
  </r>
  <r>
    <n v="826"/>
    <x v="0"/>
    <x v="1"/>
    <n v="43.12"/>
    <n v="386.14"/>
    <n v="420.9"/>
    <n v="198.31"/>
    <n v="39.869999999999997"/>
    <x v="2"/>
    <x v="734"/>
    <x v="3"/>
  </r>
  <r>
    <n v="827"/>
    <x v="1"/>
    <x v="0"/>
    <n v="64.739999999999995"/>
    <n v="462.06"/>
    <n v="433.82"/>
    <n v="183.04"/>
    <n v="22.21"/>
    <x v="1"/>
    <x v="735"/>
    <x v="3"/>
  </r>
  <r>
    <n v="829"/>
    <x v="3"/>
    <x v="2"/>
    <n v="58.86"/>
    <n v="588.12"/>
    <n v="373.05"/>
    <n v="194.93"/>
    <n v="28.05"/>
    <x v="0"/>
    <x v="736"/>
    <x v="3"/>
  </r>
  <r>
    <n v="830"/>
    <x v="3"/>
    <x v="1"/>
    <n v="52.3"/>
    <n v="461.98"/>
    <n v="518.36"/>
    <n v="95.37"/>
    <n v="30.92"/>
    <x v="0"/>
    <x v="737"/>
    <x v="3"/>
  </r>
  <r>
    <n v="831"/>
    <x v="2"/>
    <x v="1"/>
    <n v="71.05"/>
    <n v="308.19"/>
    <n v="538.20000000000005"/>
    <n v="124.73"/>
    <n v="27.13"/>
    <x v="2"/>
    <x v="738"/>
    <x v="3"/>
  </r>
  <r>
    <n v="832"/>
    <x v="1"/>
    <x v="0"/>
    <n v="38.869999999999997"/>
    <n v="484.99"/>
    <n v="423.86"/>
    <n v="220.93"/>
    <n v="26.92"/>
    <x v="2"/>
    <x v="739"/>
    <x v="3"/>
  </r>
  <r>
    <n v="834"/>
    <x v="2"/>
    <x v="3"/>
    <n v="67.5"/>
    <n v="528.22"/>
    <n v="490.21"/>
    <n v="272.73"/>
    <n v="33.01"/>
    <x v="1"/>
    <x v="740"/>
    <x v="3"/>
  </r>
  <r>
    <n v="835"/>
    <x v="1"/>
    <x v="2"/>
    <n v="39.86"/>
    <n v="523.64"/>
    <n v="455.65"/>
    <n v="163.34"/>
    <n v="22.95"/>
    <x v="0"/>
    <x v="741"/>
    <x v="3"/>
  </r>
  <r>
    <n v="836"/>
    <x v="1"/>
    <x v="3"/>
    <n v="57.83"/>
    <n v="393.7"/>
    <n v="506.44"/>
    <n v="184.52"/>
    <n v="31.82"/>
    <x v="0"/>
    <x v="742"/>
    <x v="3"/>
  </r>
  <r>
    <n v="837"/>
    <x v="4"/>
    <x v="1"/>
    <n v="40.35"/>
    <n v="383.43"/>
    <n v="668.38"/>
    <n v="155.77000000000001"/>
    <n v="19.079999999999998"/>
    <x v="0"/>
    <x v="743"/>
    <x v="3"/>
  </r>
  <r>
    <n v="839"/>
    <x v="2"/>
    <x v="1"/>
    <n v="47.43"/>
    <n v="357.36"/>
    <n v="403.29"/>
    <n v="105.4"/>
    <n v="34.25"/>
    <x v="2"/>
    <x v="744"/>
    <x v="3"/>
  </r>
  <r>
    <n v="840"/>
    <x v="1"/>
    <x v="0"/>
    <n v="25.97"/>
    <n v="578.14"/>
    <n v="373.09"/>
    <n v="180.72"/>
    <n v="23.63"/>
    <x v="0"/>
    <x v="745"/>
    <x v="3"/>
  </r>
  <r>
    <n v="841"/>
    <x v="1"/>
    <x v="0"/>
    <n v="54.24"/>
    <n v="415.34"/>
    <n v="377.74"/>
    <n v="197.41"/>
    <n v="33.39"/>
    <x v="1"/>
    <x v="746"/>
    <x v="3"/>
  </r>
  <r>
    <n v="842"/>
    <x v="2"/>
    <x v="3"/>
    <n v="51.43"/>
    <n v="497.53"/>
    <n v="304.47000000000003"/>
    <n v="193.18"/>
    <n v="30.26"/>
    <x v="0"/>
    <x v="747"/>
    <x v="3"/>
  </r>
  <r>
    <n v="843"/>
    <x v="4"/>
    <x v="2"/>
    <n v="64.790000000000006"/>
    <n v="311.42"/>
    <n v="591.92999999999995"/>
    <n v="307.48"/>
    <n v="37.99"/>
    <x v="0"/>
    <x v="34"/>
    <x v="1"/>
  </r>
  <r>
    <n v="844"/>
    <x v="3"/>
    <x v="4"/>
    <n v="56.11"/>
    <n v="460.62"/>
    <n v="212.01"/>
    <n v="291.67"/>
    <n v="25.72"/>
    <x v="2"/>
    <x v="748"/>
    <x v="3"/>
  </r>
  <r>
    <n v="846"/>
    <x v="1"/>
    <x v="1"/>
    <n v="51.07"/>
    <n v="267.8"/>
    <n v="375.83"/>
    <n v="97.8"/>
    <n v="18.05"/>
    <x v="1"/>
    <x v="749"/>
    <x v="3"/>
  </r>
  <r>
    <n v="847"/>
    <x v="3"/>
    <x v="3"/>
    <n v="48.94"/>
    <n v="554.17999999999995"/>
    <n v="418.51"/>
    <n v="195.04"/>
    <n v="28.35"/>
    <x v="2"/>
    <x v="750"/>
    <x v="3"/>
  </r>
  <r>
    <n v="848"/>
    <x v="0"/>
    <x v="3"/>
    <n v="48.16"/>
    <n v="664.12"/>
    <n v="372.24"/>
    <n v="218.83"/>
    <n v="21.51"/>
    <x v="2"/>
    <x v="751"/>
    <x v="3"/>
  </r>
  <r>
    <n v="849"/>
    <x v="4"/>
    <x v="4"/>
    <n v="45.6"/>
    <n v="612.95000000000005"/>
    <n v="653.5"/>
    <n v="156.97999999999999"/>
    <n v="39.26"/>
    <x v="2"/>
    <x v="752"/>
    <x v="3"/>
  </r>
  <r>
    <n v="850"/>
    <x v="4"/>
    <x v="1"/>
    <n v="27.92"/>
    <n v="568.16999999999996"/>
    <n v="481.96"/>
    <n v="159.44999999999999"/>
    <n v="28.69"/>
    <x v="2"/>
    <x v="753"/>
    <x v="3"/>
  </r>
  <r>
    <n v="851"/>
    <x v="0"/>
    <x v="2"/>
    <n v="47.8"/>
    <n v="458.59"/>
    <n v="574.85"/>
    <n v="279.13"/>
    <n v="29.14"/>
    <x v="0"/>
    <x v="754"/>
    <x v="3"/>
  </r>
  <r>
    <n v="852"/>
    <x v="0"/>
    <x v="1"/>
    <n v="29.32"/>
    <n v="580.59"/>
    <n v="636.05999999999995"/>
    <n v="187.12"/>
    <n v="32.22"/>
    <x v="1"/>
    <x v="755"/>
    <x v="3"/>
  </r>
  <r>
    <n v="854"/>
    <x v="4"/>
    <x v="1"/>
    <n v="49.33"/>
    <n v="513.67999999999995"/>
    <n v="336.53"/>
    <n v="153.47999999999999"/>
    <n v="27.03"/>
    <x v="0"/>
    <x v="756"/>
    <x v="3"/>
  </r>
  <r>
    <n v="855"/>
    <x v="0"/>
    <x v="1"/>
    <n v="41.06"/>
    <n v="381.56"/>
    <n v="453.52"/>
    <n v="197.15"/>
    <n v="23.72"/>
    <x v="1"/>
    <x v="757"/>
    <x v="3"/>
  </r>
  <r>
    <n v="857"/>
    <x v="4"/>
    <x v="3"/>
    <n v="47.95"/>
    <n v="670.27"/>
    <n v="419.58"/>
    <n v="166.23"/>
    <n v="31.89"/>
    <x v="2"/>
    <x v="758"/>
    <x v="3"/>
  </r>
  <r>
    <n v="858"/>
    <x v="4"/>
    <x v="1"/>
    <n v="50.07"/>
    <n v="492.53"/>
    <n v="468.65"/>
    <n v="257.77"/>
    <n v="33.479999999999997"/>
    <x v="2"/>
    <x v="759"/>
    <x v="3"/>
  </r>
  <r>
    <n v="859"/>
    <x v="0"/>
    <x v="4"/>
    <n v="60.84"/>
    <n v="167.52"/>
    <n v="463.9"/>
    <n v="130.56"/>
    <n v="39.56"/>
    <x v="2"/>
    <x v="760"/>
    <x v="3"/>
  </r>
  <r>
    <n v="860"/>
    <x v="4"/>
    <x v="1"/>
    <n v="88.16"/>
    <n v="353.11"/>
    <n v="529.45000000000005"/>
    <n v="215"/>
    <n v="19.13"/>
    <x v="0"/>
    <x v="761"/>
    <x v="3"/>
  </r>
  <r>
    <n v="861"/>
    <x v="0"/>
    <x v="0"/>
    <n v="54.8"/>
    <n v="457.56"/>
    <n v="546.88"/>
    <n v="182.24"/>
    <n v="29.66"/>
    <x v="0"/>
    <x v="762"/>
    <x v="3"/>
  </r>
  <r>
    <n v="862"/>
    <x v="0"/>
    <x v="3"/>
    <n v="77.31"/>
    <n v="603.58000000000004"/>
    <n v="463.9"/>
    <n v="220.74"/>
    <n v="35.96"/>
    <x v="0"/>
    <x v="763"/>
    <x v="3"/>
  </r>
  <r>
    <n v="863"/>
    <x v="1"/>
    <x v="0"/>
    <n v="53.77"/>
    <n v="472.69"/>
    <n v="528.41999999999996"/>
    <n v="182.92"/>
    <n v="29.38"/>
    <x v="1"/>
    <x v="764"/>
    <x v="3"/>
  </r>
  <r>
    <n v="864"/>
    <x v="1"/>
    <x v="3"/>
    <n v="48.2"/>
    <n v="605.44000000000005"/>
    <n v="414.08"/>
    <n v="243.36"/>
    <n v="18.309999999999999"/>
    <x v="1"/>
    <x v="765"/>
    <x v="3"/>
  </r>
  <r>
    <n v="865"/>
    <x v="0"/>
    <x v="0"/>
    <n v="42.21"/>
    <n v="447.38"/>
    <n v="637.77"/>
    <n v="153.01"/>
    <n v="23.54"/>
    <x v="0"/>
    <x v="766"/>
    <x v="3"/>
  </r>
  <r>
    <n v="866"/>
    <x v="3"/>
    <x v="1"/>
    <n v="48.06"/>
    <n v="303.57"/>
    <n v="412.14"/>
    <n v="257.88"/>
    <n v="31.64"/>
    <x v="0"/>
    <x v="767"/>
    <x v="3"/>
  </r>
  <r>
    <n v="867"/>
    <x v="4"/>
    <x v="1"/>
    <n v="205.69"/>
    <n v="1803.38"/>
    <n v="623.66"/>
    <n v="198.56"/>
    <n v="31.46"/>
    <x v="2"/>
    <x v="768"/>
    <x v="3"/>
  </r>
  <r>
    <n v="868"/>
    <x v="2"/>
    <x v="1"/>
    <n v="52.69"/>
    <n v="534.49"/>
    <n v="302.87"/>
    <n v="133.57"/>
    <n v="33.36"/>
    <x v="0"/>
    <x v="769"/>
    <x v="3"/>
  </r>
  <r>
    <n v="869"/>
    <x v="1"/>
    <x v="4"/>
    <n v="156.06"/>
    <n v="526.20000000000005"/>
    <n v="434.35"/>
    <n v="234.01"/>
    <n v="26.09"/>
    <x v="0"/>
    <x v="770"/>
    <x v="3"/>
  </r>
  <r>
    <n v="871"/>
    <x v="1"/>
    <x v="2"/>
    <n v="49.81"/>
    <n v="464.88"/>
    <n v="513.48"/>
    <n v="114.61"/>
    <n v="25.27"/>
    <x v="0"/>
    <x v="771"/>
    <x v="3"/>
  </r>
  <r>
    <n v="872"/>
    <x v="1"/>
    <x v="1"/>
    <n v="60.76"/>
    <n v="768.47"/>
    <n v="583.41999999999996"/>
    <n v="216.62"/>
    <n v="31.3"/>
    <x v="0"/>
    <x v="772"/>
    <x v="3"/>
  </r>
  <r>
    <n v="873"/>
    <x v="0"/>
    <x v="0"/>
    <n v="46.01"/>
    <n v="376.67"/>
    <n v="330.07"/>
    <n v="250.33"/>
    <n v="30.27"/>
    <x v="1"/>
    <x v="773"/>
    <x v="3"/>
  </r>
  <r>
    <n v="874"/>
    <x v="1"/>
    <x v="0"/>
    <n v="43.47"/>
    <n v="566.07000000000005"/>
    <n v="347.04"/>
    <n v="264.11"/>
    <n v="25.9"/>
    <x v="0"/>
    <x v="774"/>
    <x v="3"/>
  </r>
  <r>
    <n v="875"/>
    <x v="0"/>
    <x v="1"/>
    <n v="36.22"/>
    <n v="290.33"/>
    <n v="311.77"/>
    <n v="181.08"/>
    <n v="37.79"/>
    <x v="1"/>
    <x v="775"/>
    <x v="3"/>
  </r>
  <r>
    <n v="876"/>
    <x v="1"/>
    <x v="1"/>
    <n v="31.42"/>
    <n v="586.38"/>
    <n v="638.41999999999996"/>
    <n v="207.27"/>
    <n v="21.47"/>
    <x v="0"/>
    <x v="776"/>
    <x v="3"/>
  </r>
  <r>
    <n v="877"/>
    <x v="1"/>
    <x v="0"/>
    <n v="58.31"/>
    <n v="410.77"/>
    <n v="515.71"/>
    <n v="202.53"/>
    <n v="29.29"/>
    <x v="1"/>
    <x v="777"/>
    <x v="3"/>
  </r>
  <r>
    <n v="878"/>
    <x v="4"/>
    <x v="4"/>
    <n v="48.19"/>
    <n v="540.21"/>
    <n v="349.88"/>
    <n v="274.49"/>
    <n v="25.79"/>
    <x v="0"/>
    <x v="778"/>
    <x v="3"/>
  </r>
  <r>
    <n v="879"/>
    <x v="3"/>
    <x v="1"/>
    <n v="57.72"/>
    <n v="370.85"/>
    <n v="426.83"/>
    <n v="159.47999999999999"/>
    <n v="39.17"/>
    <x v="1"/>
    <x v="779"/>
    <x v="3"/>
  </r>
  <r>
    <n v="880"/>
    <x v="1"/>
    <x v="1"/>
    <n v="65.31"/>
    <n v="529.09"/>
    <n v="621.80999999999995"/>
    <n v="176.77"/>
    <n v="32.99"/>
    <x v="2"/>
    <x v="780"/>
    <x v="3"/>
  </r>
  <r>
    <n v="882"/>
    <x v="4"/>
    <x v="2"/>
    <n v="44.58"/>
    <n v="428.5"/>
    <n v="439.54"/>
    <n v="127.54"/>
    <n v="28.6"/>
    <x v="0"/>
    <x v="781"/>
    <x v="3"/>
  </r>
  <r>
    <n v="883"/>
    <x v="3"/>
    <x v="0"/>
    <n v="51.45"/>
    <n v="544.20000000000005"/>
    <n v="386.24"/>
    <n v="212.39"/>
    <n v="39.31"/>
    <x v="2"/>
    <x v="782"/>
    <x v="3"/>
  </r>
  <r>
    <n v="884"/>
    <x v="1"/>
    <x v="4"/>
    <n v="43.85"/>
    <n v="456.96"/>
    <n v="357"/>
    <n v="280.06"/>
    <n v="25.27"/>
    <x v="2"/>
    <x v="783"/>
    <x v="3"/>
  </r>
  <r>
    <n v="885"/>
    <x v="2"/>
    <x v="2"/>
    <n v="42.92"/>
    <n v="538.04"/>
    <n v="622"/>
    <n v="190.08"/>
    <n v="21.18"/>
    <x v="0"/>
    <x v="784"/>
    <x v="3"/>
  </r>
  <r>
    <n v="886"/>
    <x v="1"/>
    <x v="1"/>
    <n v="53.43"/>
    <n v="480.92"/>
    <n v="680.87"/>
    <n v="155.91"/>
    <n v="31.46"/>
    <x v="2"/>
    <x v="785"/>
    <x v="3"/>
  </r>
  <r>
    <n v="887"/>
    <x v="4"/>
    <x v="0"/>
    <n v="41.68"/>
    <n v="506.75"/>
    <n v="361.78"/>
    <n v="209.34"/>
    <n v="31.57"/>
    <x v="2"/>
    <x v="786"/>
    <x v="3"/>
  </r>
  <r>
    <n v="888"/>
    <x v="4"/>
    <x v="1"/>
    <n v="27.91"/>
    <n v="544.51"/>
    <n v="648.59"/>
    <n v="229.46"/>
    <n v="33.33"/>
    <x v="2"/>
    <x v="787"/>
    <x v="3"/>
  </r>
  <r>
    <n v="889"/>
    <x v="4"/>
    <x v="3"/>
    <n v="41.12"/>
    <n v="465"/>
    <n v="421.51"/>
    <n v="192.18"/>
    <n v="33.36"/>
    <x v="0"/>
    <x v="788"/>
    <x v="3"/>
  </r>
  <r>
    <n v="890"/>
    <x v="4"/>
    <x v="1"/>
    <n v="46.93"/>
    <n v="400.4"/>
    <n v="544.04"/>
    <n v="270.18"/>
    <n v="38.85"/>
    <x v="1"/>
    <x v="789"/>
    <x v="3"/>
  </r>
  <r>
    <n v="893"/>
    <x v="1"/>
    <x v="3"/>
    <n v="111.39"/>
    <n v="511.62"/>
    <n v="440.65"/>
    <n v="214.8"/>
    <n v="33.31"/>
    <x v="1"/>
    <x v="790"/>
    <x v="3"/>
  </r>
  <r>
    <n v="894"/>
    <x v="2"/>
    <x v="0"/>
    <n v="48.32"/>
    <n v="415.51"/>
    <n v="576.13"/>
    <n v="219.65"/>
    <n v="24.47"/>
    <x v="1"/>
    <x v="791"/>
    <x v="3"/>
  </r>
  <r>
    <n v="895"/>
    <x v="1"/>
    <x v="1"/>
    <n v="62.26"/>
    <n v="540.16"/>
    <n v="346.81"/>
    <n v="202.36"/>
    <n v="22.72"/>
    <x v="2"/>
    <x v="792"/>
    <x v="3"/>
  </r>
  <r>
    <n v="896"/>
    <x v="4"/>
    <x v="4"/>
    <n v="61.57"/>
    <n v="546.83000000000004"/>
    <n v="617.65"/>
    <n v="136.08000000000001"/>
    <n v="39.33"/>
    <x v="1"/>
    <x v="793"/>
    <x v="3"/>
  </r>
  <r>
    <n v="897"/>
    <x v="1"/>
    <x v="3"/>
    <n v="61.76"/>
    <n v="552"/>
    <n v="497.14"/>
    <n v="316.89999999999998"/>
    <n v="21.9"/>
    <x v="0"/>
    <x v="794"/>
    <x v="3"/>
  </r>
  <r>
    <n v="899"/>
    <x v="2"/>
    <x v="3"/>
    <n v="52.07"/>
    <n v="431.76"/>
    <n v="407.5"/>
    <n v="205.51"/>
    <n v="29.7"/>
    <x v="2"/>
    <x v="795"/>
    <x v="3"/>
  </r>
  <r>
    <n v="900"/>
    <x v="1"/>
    <x v="4"/>
    <n v="57.59"/>
    <n v="432.32"/>
    <n v="313.98"/>
    <n v="230.84"/>
    <n v="36.549999999999997"/>
    <x v="2"/>
    <x v="796"/>
    <x v="3"/>
  </r>
  <r>
    <n v="901"/>
    <x v="3"/>
    <x v="1"/>
    <n v="53.82"/>
    <n v="463.94"/>
    <n v="415.66"/>
    <n v="168.17"/>
    <n v="20.66"/>
    <x v="0"/>
    <x v="797"/>
    <x v="3"/>
  </r>
  <r>
    <n v="902"/>
    <x v="1"/>
    <x v="1"/>
    <n v="56.37"/>
    <n v="553.89"/>
    <n v="448.32"/>
    <n v="202.85"/>
    <n v="32.08"/>
    <x v="0"/>
    <x v="798"/>
    <x v="3"/>
  </r>
  <r>
    <n v="903"/>
    <x v="4"/>
    <x v="2"/>
    <n v="50.58"/>
    <n v="529.62"/>
    <n v="352.64"/>
    <n v="166.14"/>
    <n v="25.55"/>
    <x v="0"/>
    <x v="799"/>
    <x v="3"/>
  </r>
  <r>
    <n v="904"/>
    <x v="2"/>
    <x v="3"/>
    <n v="94.1"/>
    <n v="537.52"/>
    <n v="474.54"/>
    <n v="220.78"/>
    <n v="33.14"/>
    <x v="1"/>
    <x v="800"/>
    <x v="3"/>
  </r>
  <r>
    <n v="905"/>
    <x v="1"/>
    <x v="1"/>
    <n v="33.03"/>
    <n v="635.4"/>
    <n v="536.75"/>
    <n v="186.2"/>
    <n v="25.47"/>
    <x v="1"/>
    <x v="801"/>
    <x v="3"/>
  </r>
  <r>
    <n v="906"/>
    <x v="4"/>
    <x v="4"/>
    <n v="43.54"/>
    <n v="568.89"/>
    <n v="454.38"/>
    <n v="213.44"/>
    <n v="37.86"/>
    <x v="2"/>
    <x v="802"/>
    <x v="3"/>
  </r>
  <r>
    <n v="907"/>
    <x v="3"/>
    <x v="0"/>
    <n v="76.78"/>
    <n v="485.82"/>
    <n v="559.53"/>
    <n v="147.66999999999999"/>
    <n v="25.5"/>
    <x v="1"/>
    <x v="803"/>
    <x v="3"/>
  </r>
  <r>
    <n v="908"/>
    <x v="3"/>
    <x v="1"/>
    <n v="45.14"/>
    <n v="381.61"/>
    <n v="383.14"/>
    <n v="158.55000000000001"/>
    <n v="17.690000000000001"/>
    <x v="1"/>
    <x v="804"/>
    <x v="3"/>
  </r>
  <r>
    <n v="909"/>
    <x v="1"/>
    <x v="1"/>
    <n v="30.41"/>
    <n v="428.55"/>
    <n v="600.41"/>
    <n v="131.74"/>
    <n v="26.06"/>
    <x v="1"/>
    <x v="805"/>
    <x v="3"/>
  </r>
  <r>
    <n v="910"/>
    <x v="1"/>
    <x v="1"/>
    <n v="57.33"/>
    <n v="473.83"/>
    <n v="494.62"/>
    <n v="164.47"/>
    <n v="28.69"/>
    <x v="2"/>
    <x v="806"/>
    <x v="3"/>
  </r>
  <r>
    <n v="911"/>
    <x v="1"/>
    <x v="3"/>
    <n v="58.55"/>
    <n v="582.91"/>
    <n v="665.43"/>
    <n v="71.319999999999993"/>
    <n v="35.409999999999997"/>
    <x v="2"/>
    <x v="807"/>
    <x v="3"/>
  </r>
  <r>
    <n v="912"/>
    <x v="4"/>
    <x v="2"/>
    <n v="62.87"/>
    <n v="497.27"/>
    <n v="769.71"/>
    <n v="184.64"/>
    <n v="23.71"/>
    <x v="0"/>
    <x v="808"/>
    <x v="3"/>
  </r>
  <r>
    <n v="913"/>
    <x v="1"/>
    <x v="1"/>
    <n v="142.59"/>
    <n v="434.38"/>
    <n v="423.57"/>
    <n v="173.29"/>
    <n v="23.81"/>
    <x v="0"/>
    <x v="809"/>
    <x v="3"/>
  </r>
  <r>
    <n v="914"/>
    <x v="3"/>
    <x v="0"/>
    <n v="58.46"/>
    <n v="426.71"/>
    <n v="428.51"/>
    <n v="207.55"/>
    <n v="34.799999999999997"/>
    <x v="0"/>
    <x v="810"/>
    <x v="3"/>
  </r>
  <r>
    <n v="915"/>
    <x v="2"/>
    <x v="4"/>
    <n v="68.400000000000006"/>
    <n v="493.04"/>
    <n v="450.45"/>
    <n v="202.23"/>
    <n v="23.12"/>
    <x v="0"/>
    <x v="811"/>
    <x v="3"/>
  </r>
  <r>
    <n v="916"/>
    <x v="1"/>
    <x v="0"/>
    <n v="42.55"/>
    <n v="589"/>
    <n v="551.48"/>
    <n v="262.85000000000002"/>
    <n v="29.11"/>
    <x v="0"/>
    <x v="812"/>
    <x v="3"/>
  </r>
  <r>
    <n v="917"/>
    <x v="1"/>
    <x v="4"/>
    <n v="40.56"/>
    <n v="659.1"/>
    <n v="639.12"/>
    <n v="329.72"/>
    <n v="29.21"/>
    <x v="0"/>
    <x v="813"/>
    <x v="3"/>
  </r>
  <r>
    <n v="919"/>
    <x v="4"/>
    <x v="1"/>
    <n v="47.34"/>
    <n v="495.53"/>
    <n v="525.75"/>
    <n v="177.34"/>
    <n v="26.25"/>
    <x v="0"/>
    <x v="814"/>
    <x v="3"/>
  </r>
  <r>
    <n v="920"/>
    <x v="0"/>
    <x v="3"/>
    <n v="64.33"/>
    <n v="378.61"/>
    <n v="463.69"/>
    <n v="175.33"/>
    <n v="25.37"/>
    <x v="2"/>
    <x v="815"/>
    <x v="3"/>
  </r>
  <r>
    <n v="921"/>
    <x v="1"/>
    <x v="2"/>
    <n v="55.28"/>
    <n v="693.92"/>
    <n v="554.16999999999996"/>
    <n v="243.43"/>
    <n v="31.67"/>
    <x v="0"/>
    <x v="816"/>
    <x v="3"/>
  </r>
  <r>
    <n v="922"/>
    <x v="1"/>
    <x v="2"/>
    <n v="54.89"/>
    <n v="359.9"/>
    <n v="661.13"/>
    <n v="115.83"/>
    <n v="25.52"/>
    <x v="2"/>
    <x v="817"/>
    <x v="3"/>
  </r>
  <r>
    <n v="923"/>
    <x v="2"/>
    <x v="4"/>
    <n v="31.81"/>
    <n v="617.16999999999996"/>
    <n v="451.16"/>
    <n v="184.24"/>
    <n v="23.2"/>
    <x v="2"/>
    <x v="818"/>
    <x v="3"/>
  </r>
  <r>
    <n v="924"/>
    <x v="1"/>
    <x v="1"/>
    <n v="43.07"/>
    <n v="463.47"/>
    <n v="279.62"/>
    <n v="188.09"/>
    <n v="36.14"/>
    <x v="1"/>
    <x v="819"/>
    <x v="3"/>
  </r>
  <r>
    <n v="925"/>
    <x v="4"/>
    <x v="1"/>
    <n v="31.64"/>
    <n v="440.06"/>
    <n v="569.27"/>
    <n v="229.21"/>
    <n v="32.44"/>
    <x v="2"/>
    <x v="820"/>
    <x v="3"/>
  </r>
  <r>
    <n v="926"/>
    <x v="3"/>
    <x v="4"/>
    <n v="61.71"/>
    <n v="389"/>
    <n v="380.08"/>
    <n v="230.69"/>
    <n v="38.840000000000003"/>
    <x v="0"/>
    <x v="821"/>
    <x v="3"/>
  </r>
  <r>
    <n v="927"/>
    <x v="1"/>
    <x v="2"/>
    <n v="65.86"/>
    <n v="741"/>
    <n v="462.83"/>
    <n v="162.77000000000001"/>
    <n v="33.92"/>
    <x v="0"/>
    <x v="822"/>
    <x v="3"/>
  </r>
  <r>
    <n v="928"/>
    <x v="2"/>
    <x v="2"/>
    <n v="57.8"/>
    <n v="522.15"/>
    <n v="574.44000000000005"/>
    <n v="179.28"/>
    <n v="23.66"/>
    <x v="0"/>
    <x v="823"/>
    <x v="3"/>
  </r>
  <r>
    <n v="929"/>
    <x v="1"/>
    <x v="2"/>
    <n v="40.130000000000003"/>
    <n v="502.13"/>
    <n v="515.69000000000005"/>
    <n v="222.26"/>
    <n v="30.48"/>
    <x v="2"/>
    <x v="824"/>
    <x v="3"/>
  </r>
  <r>
    <n v="930"/>
    <x v="1"/>
    <x v="4"/>
    <n v="64.819999999999993"/>
    <n v="588.66999999999996"/>
    <n v="467.79"/>
    <n v="160.05000000000001"/>
    <n v="24.92"/>
    <x v="0"/>
    <x v="825"/>
    <x v="3"/>
  </r>
  <r>
    <n v="931"/>
    <x v="1"/>
    <x v="2"/>
    <n v="47.47"/>
    <n v="434.92"/>
    <n v="410.89"/>
    <n v="260.31"/>
    <n v="21.74"/>
    <x v="0"/>
    <x v="826"/>
    <x v="3"/>
  </r>
  <r>
    <n v="932"/>
    <x v="4"/>
    <x v="0"/>
    <n v="37.86"/>
    <n v="500.18"/>
    <n v="132.01"/>
    <n v="230.46"/>
    <n v="27.76"/>
    <x v="0"/>
    <x v="827"/>
    <x v="3"/>
  </r>
  <r>
    <n v="934"/>
    <x v="3"/>
    <x v="2"/>
    <n v="45.7"/>
    <n v="448.79"/>
    <n v="449.65"/>
    <n v="219.55"/>
    <n v="31.37"/>
    <x v="2"/>
    <x v="828"/>
    <x v="3"/>
  </r>
  <r>
    <n v="935"/>
    <x v="1"/>
    <x v="4"/>
    <n v="50.5"/>
    <n v="619.96"/>
    <n v="661.6"/>
    <n v="176.66"/>
    <n v="23.05"/>
    <x v="0"/>
    <x v="829"/>
    <x v="3"/>
  </r>
  <r>
    <n v="936"/>
    <x v="1"/>
    <x v="1"/>
    <n v="48.39"/>
    <n v="478.13"/>
    <n v="527.76"/>
    <n v="168.69"/>
    <n v="27.59"/>
    <x v="0"/>
    <x v="830"/>
    <x v="3"/>
  </r>
  <r>
    <n v="937"/>
    <x v="4"/>
    <x v="3"/>
    <n v="35.869999999999997"/>
    <n v="344.69"/>
    <n v="415.06"/>
    <n v="178.76"/>
    <n v="29.29"/>
    <x v="2"/>
    <x v="831"/>
    <x v="3"/>
  </r>
  <r>
    <n v="938"/>
    <x v="1"/>
    <x v="4"/>
    <n v="62.13"/>
    <n v="469.85"/>
    <n v="608.02"/>
    <n v="225"/>
    <n v="21.55"/>
    <x v="1"/>
    <x v="832"/>
    <x v="3"/>
  </r>
  <r>
    <n v="939"/>
    <x v="4"/>
    <x v="1"/>
    <n v="48.49"/>
    <n v="524.91999999999996"/>
    <n v="618.14"/>
    <n v="210.05"/>
    <n v="33.57"/>
    <x v="0"/>
    <x v="833"/>
    <x v="3"/>
  </r>
  <r>
    <n v="940"/>
    <x v="1"/>
    <x v="4"/>
    <n v="42.86"/>
    <n v="410.65"/>
    <n v="453.72"/>
    <n v="178.86"/>
    <n v="28.86"/>
    <x v="1"/>
    <x v="834"/>
    <x v="3"/>
  </r>
  <r>
    <n v="941"/>
    <x v="3"/>
    <x v="4"/>
    <n v="85.55"/>
    <n v="418.54"/>
    <n v="623.24"/>
    <n v="237.48"/>
    <n v="23.05"/>
    <x v="2"/>
    <x v="835"/>
    <x v="3"/>
  </r>
  <r>
    <n v="942"/>
    <x v="1"/>
    <x v="0"/>
    <n v="38.17"/>
    <n v="445.37"/>
    <n v="413.36"/>
    <n v="191.3"/>
    <n v="22.76"/>
    <x v="0"/>
    <x v="836"/>
    <x v="3"/>
  </r>
  <r>
    <n v="943"/>
    <x v="1"/>
    <x v="3"/>
    <n v="33.71"/>
    <n v="622.12"/>
    <n v="499.16"/>
    <n v="165.33"/>
    <n v="35.5"/>
    <x v="0"/>
    <x v="837"/>
    <x v="3"/>
  </r>
  <r>
    <n v="944"/>
    <x v="0"/>
    <x v="3"/>
    <n v="62.72"/>
    <n v="451.28"/>
    <n v="548.57000000000005"/>
    <n v="212.72"/>
    <n v="28.1"/>
    <x v="2"/>
    <x v="838"/>
    <x v="3"/>
  </r>
  <r>
    <n v="945"/>
    <x v="4"/>
    <x v="4"/>
    <n v="68.91"/>
    <n v="642.91"/>
    <n v="574.16999999999996"/>
    <n v="149.35"/>
    <n v="35.950000000000003"/>
    <x v="2"/>
    <x v="839"/>
    <x v="3"/>
  </r>
  <r>
    <n v="946"/>
    <x v="1"/>
    <x v="1"/>
    <n v="45.38"/>
    <n v="438.5"/>
    <n v="554.58000000000004"/>
    <n v="115.64"/>
    <n v="37.86"/>
    <x v="2"/>
    <x v="840"/>
    <x v="3"/>
  </r>
  <r>
    <n v="947"/>
    <x v="1"/>
    <x v="2"/>
    <n v="49.54"/>
    <n v="532.5"/>
    <n v="440.08"/>
    <n v="199.74"/>
    <n v="35.11"/>
    <x v="1"/>
    <x v="841"/>
    <x v="3"/>
  </r>
  <r>
    <n v="948"/>
    <x v="4"/>
    <x v="2"/>
    <n v="38.53"/>
    <n v="455.38"/>
    <n v="611.24"/>
    <n v="167.13"/>
    <n v="27.33"/>
    <x v="2"/>
    <x v="842"/>
    <x v="3"/>
  </r>
  <r>
    <n v="949"/>
    <x v="0"/>
    <x v="0"/>
    <n v="50.05"/>
    <n v="575.41"/>
    <n v="465.07"/>
    <n v="187.29"/>
    <n v="17.510000000000002"/>
    <x v="0"/>
    <x v="843"/>
    <x v="3"/>
  </r>
  <r>
    <n v="950"/>
    <x v="2"/>
    <x v="0"/>
    <n v="86.2"/>
    <n v="388.17"/>
    <n v="411.72"/>
    <n v="151.66"/>
    <n v="31.56"/>
    <x v="1"/>
    <x v="844"/>
    <x v="3"/>
  </r>
  <r>
    <n v="951"/>
    <x v="2"/>
    <x v="2"/>
    <n v="48.98"/>
    <n v="574.29"/>
    <n v="413.48"/>
    <n v="260.45"/>
    <n v="40.46"/>
    <x v="2"/>
    <x v="845"/>
    <x v="3"/>
  </r>
  <r>
    <n v="952"/>
    <x v="4"/>
    <x v="1"/>
    <n v="54.09"/>
    <n v="511.39"/>
    <n v="712.8"/>
    <n v="166.93"/>
    <n v="29.82"/>
    <x v="2"/>
    <x v="846"/>
    <x v="3"/>
  </r>
  <r>
    <n v="953"/>
    <x v="4"/>
    <x v="2"/>
    <n v="39.020000000000003"/>
    <n v="436"/>
    <n v="390.96"/>
    <n v="178.4"/>
    <n v="20.05"/>
    <x v="0"/>
    <x v="34"/>
    <x v="1"/>
  </r>
  <r>
    <n v="954"/>
    <x v="4"/>
    <x v="1"/>
    <n v="46.38"/>
    <n v="483.38"/>
    <n v="635"/>
    <n v="218.89"/>
    <n v="26.63"/>
    <x v="2"/>
    <x v="847"/>
    <x v="3"/>
  </r>
  <r>
    <n v="955"/>
    <x v="4"/>
    <x v="0"/>
    <n v="31.96"/>
    <n v="653.39"/>
    <n v="343.74"/>
    <n v="131.16999999999999"/>
    <n v="29.08"/>
    <x v="2"/>
    <x v="848"/>
    <x v="3"/>
  </r>
  <r>
    <n v="956"/>
    <x v="4"/>
    <x v="1"/>
    <n v="46.45"/>
    <n v="513.78"/>
    <n v="538.54999999999995"/>
    <n v="127.47"/>
    <n v="24.51"/>
    <x v="1"/>
    <x v="849"/>
    <x v="3"/>
  </r>
  <r>
    <n v="957"/>
    <x v="3"/>
    <x v="4"/>
    <n v="49.07"/>
    <n v="429.73"/>
    <n v="515.65"/>
    <n v="219.05"/>
    <n v="17.18"/>
    <x v="0"/>
    <x v="850"/>
    <x v="3"/>
  </r>
  <r>
    <n v="958"/>
    <x v="3"/>
    <x v="0"/>
    <n v="52.29"/>
    <n v="379.53"/>
    <n v="674.55"/>
    <n v="177.75"/>
    <n v="29.51"/>
    <x v="1"/>
    <x v="851"/>
    <x v="3"/>
  </r>
  <r>
    <n v="959"/>
    <x v="4"/>
    <x v="0"/>
    <n v="52.4"/>
    <n v="550.54"/>
    <n v="401.47"/>
    <n v="154.93"/>
    <n v="26.08"/>
    <x v="0"/>
    <x v="852"/>
    <x v="3"/>
  </r>
  <r>
    <n v="960"/>
    <x v="0"/>
    <x v="3"/>
    <n v="59.04"/>
    <n v="519.58000000000004"/>
    <n v="368.32"/>
    <n v="230.17"/>
    <n v="38.86"/>
    <x v="0"/>
    <x v="853"/>
    <x v="3"/>
  </r>
  <r>
    <n v="961"/>
    <x v="1"/>
    <x v="3"/>
    <n v="34.6"/>
    <n v="569.5"/>
    <n v="466.02"/>
    <n v="159.4"/>
    <n v="30.51"/>
    <x v="1"/>
    <x v="854"/>
    <x v="3"/>
  </r>
  <r>
    <n v="962"/>
    <x v="4"/>
    <x v="3"/>
    <n v="35.14"/>
    <n v="353.78"/>
    <n v="679.78"/>
    <n v="186.27"/>
    <n v="32.35"/>
    <x v="0"/>
    <x v="855"/>
    <x v="3"/>
  </r>
  <r>
    <n v="963"/>
    <x v="0"/>
    <x v="4"/>
    <n v="55.29"/>
    <n v="382.77"/>
    <n v="373.9"/>
    <n v="155.19"/>
    <n v="29.4"/>
    <x v="1"/>
    <x v="856"/>
    <x v="3"/>
  </r>
  <r>
    <n v="964"/>
    <x v="1"/>
    <x v="3"/>
    <n v="29.61"/>
    <n v="614.69000000000005"/>
    <n v="169.39"/>
    <n v="215.17"/>
    <n v="30.47"/>
    <x v="0"/>
    <x v="34"/>
    <x v="1"/>
  </r>
  <r>
    <n v="966"/>
    <x v="4"/>
    <x v="2"/>
    <n v="38.200000000000003"/>
    <n v="553.34"/>
    <n v="593.94000000000005"/>
    <n v="106.95"/>
    <n v="24.8"/>
    <x v="0"/>
    <x v="857"/>
    <x v="3"/>
  </r>
  <r>
    <n v="967"/>
    <x v="3"/>
    <x v="1"/>
    <n v="65.73"/>
    <n v="403.73"/>
    <n v="358.34"/>
    <n v="205.63"/>
    <n v="35.44"/>
    <x v="0"/>
    <x v="858"/>
    <x v="3"/>
  </r>
  <r>
    <n v="969"/>
    <x v="1"/>
    <x v="1"/>
    <n v="47.81"/>
    <n v="599.13"/>
    <n v="355.69"/>
    <n v="178.93"/>
    <n v="28.01"/>
    <x v="1"/>
    <x v="859"/>
    <x v="3"/>
  </r>
  <r>
    <n v="970"/>
    <x v="2"/>
    <x v="1"/>
    <n v="62.28"/>
    <n v="603.84"/>
    <n v="462.41"/>
    <n v="143.44999999999999"/>
    <n v="32.43"/>
    <x v="1"/>
    <x v="860"/>
    <x v="3"/>
  </r>
  <r>
    <n v="971"/>
    <x v="2"/>
    <x v="1"/>
    <n v="39.369999999999997"/>
    <n v="391.17"/>
    <n v="570.32000000000005"/>
    <n v="221.05"/>
    <n v="32.53"/>
    <x v="1"/>
    <x v="861"/>
    <x v="3"/>
  </r>
  <r>
    <n v="972"/>
    <x v="2"/>
    <x v="1"/>
    <n v="41.27"/>
    <n v="372.06"/>
    <n v="337.5"/>
    <n v="250.08"/>
    <n v="39.950000000000003"/>
    <x v="0"/>
    <x v="862"/>
    <x v="3"/>
  </r>
  <r>
    <n v="973"/>
    <x v="2"/>
    <x v="0"/>
    <n v="37.39"/>
    <n v="489.14"/>
    <n v="501.78"/>
    <n v="244.53"/>
    <n v="30.82"/>
    <x v="0"/>
    <x v="863"/>
    <x v="3"/>
  </r>
  <r>
    <n v="974"/>
    <x v="1"/>
    <x v="2"/>
    <n v="41.35"/>
    <n v="420.07"/>
    <n v="625.79999999999995"/>
    <n v="218.3"/>
    <n v="24.69"/>
    <x v="0"/>
    <x v="864"/>
    <x v="3"/>
  </r>
  <r>
    <n v="975"/>
    <x v="1"/>
    <x v="3"/>
    <n v="253.06"/>
    <n v="1671.93"/>
    <n v="536.87"/>
    <n v="204.9"/>
    <n v="29.42"/>
    <x v="2"/>
    <x v="865"/>
    <x v="3"/>
  </r>
  <r>
    <n v="976"/>
    <x v="4"/>
    <x v="4"/>
    <n v="54.94"/>
    <n v="374.86"/>
    <n v="393.52"/>
    <n v="155.05000000000001"/>
    <n v="33.04"/>
    <x v="1"/>
    <x v="866"/>
    <x v="3"/>
  </r>
  <r>
    <n v="977"/>
    <x v="4"/>
    <x v="2"/>
    <n v="59.61"/>
    <n v="453.16"/>
    <n v="662.25"/>
    <n v="243.26"/>
    <n v="34.979999999999997"/>
    <x v="0"/>
    <x v="867"/>
    <x v="3"/>
  </r>
  <r>
    <n v="978"/>
    <x v="3"/>
    <x v="4"/>
    <n v="31.75"/>
    <n v="384.53"/>
    <n v="559.01"/>
    <n v="240.5"/>
    <n v="21.92"/>
    <x v="0"/>
    <x v="868"/>
    <x v="3"/>
  </r>
  <r>
    <n v="980"/>
    <x v="2"/>
    <x v="0"/>
    <n v="38.92"/>
    <n v="529.84"/>
    <n v="583.71"/>
    <n v="218.22"/>
    <n v="25.51"/>
    <x v="1"/>
    <x v="869"/>
    <x v="3"/>
  </r>
  <r>
    <n v="981"/>
    <x v="4"/>
    <x v="0"/>
    <n v="47.95"/>
    <n v="494.48"/>
    <n v="411.44"/>
    <n v="232.64"/>
    <n v="27.17"/>
    <x v="0"/>
    <x v="870"/>
    <x v="3"/>
  </r>
  <r>
    <n v="982"/>
    <x v="0"/>
    <x v="1"/>
    <n v="73.34"/>
    <n v="548.49"/>
    <n v="503.59"/>
    <n v="244.11"/>
    <n v="34.229999999999997"/>
    <x v="2"/>
    <x v="871"/>
    <x v="3"/>
  </r>
  <r>
    <n v="983"/>
    <x v="4"/>
    <x v="4"/>
    <n v="52.92"/>
    <n v="335.1"/>
    <n v="600.96"/>
    <n v="196.25"/>
    <n v="33.729999999999997"/>
    <x v="1"/>
    <x v="872"/>
    <x v="3"/>
  </r>
  <r>
    <n v="986"/>
    <x v="4"/>
    <x v="1"/>
    <n v="61.27"/>
    <n v="462.77"/>
    <n v="660.67"/>
    <n v="149.63999999999999"/>
    <n v="27.32"/>
    <x v="0"/>
    <x v="873"/>
    <x v="3"/>
  </r>
  <r>
    <n v="987"/>
    <x v="4"/>
    <x v="4"/>
    <n v="45.52"/>
    <n v="582.47"/>
    <n v="619.75"/>
    <n v="197.45"/>
    <n v="44.46"/>
    <x v="2"/>
    <x v="874"/>
    <x v="3"/>
  </r>
  <r>
    <n v="988"/>
    <x v="4"/>
    <x v="1"/>
    <n v="37.24"/>
    <n v="581.6"/>
    <n v="469.53"/>
    <n v="187.66"/>
    <n v="31.39"/>
    <x v="2"/>
    <x v="875"/>
    <x v="3"/>
  </r>
  <r>
    <n v="989"/>
    <x v="2"/>
    <x v="0"/>
    <n v="49.7"/>
    <n v="586.52"/>
    <n v="582.41"/>
    <n v="307.25"/>
    <n v="25.8"/>
    <x v="2"/>
    <x v="876"/>
    <x v="3"/>
  </r>
  <r>
    <n v="990"/>
    <x v="3"/>
    <x v="2"/>
    <n v="44.32"/>
    <n v="516.66999999999996"/>
    <n v="435.67"/>
    <n v="244.73"/>
    <n v="36.61"/>
    <x v="2"/>
    <x v="877"/>
    <x v="3"/>
  </r>
  <r>
    <n v="991"/>
    <x v="3"/>
    <x v="4"/>
    <n v="34.75"/>
    <n v="556.61"/>
    <n v="491.64"/>
    <n v="248.48"/>
    <n v="36.79"/>
    <x v="0"/>
    <x v="878"/>
    <x v="3"/>
  </r>
  <r>
    <n v="992"/>
    <x v="2"/>
    <x v="0"/>
    <n v="52.41"/>
    <n v="569.9"/>
    <n v="462.69"/>
    <n v="223.57"/>
    <n v="38.96"/>
    <x v="2"/>
    <x v="879"/>
    <x v="3"/>
  </r>
  <r>
    <n v="993"/>
    <x v="4"/>
    <x v="1"/>
    <n v="52.66"/>
    <n v="563.54"/>
    <n v="440.53"/>
    <n v="181.63"/>
    <n v="40.44"/>
    <x v="0"/>
    <x v="880"/>
    <x v="3"/>
  </r>
  <r>
    <n v="994"/>
    <x v="0"/>
    <x v="1"/>
    <n v="67.69"/>
    <n v="388.26"/>
    <n v="523.12"/>
    <n v="186.23"/>
    <n v="33.54"/>
    <x v="0"/>
    <x v="881"/>
    <x v="3"/>
  </r>
  <r>
    <n v="995"/>
    <x v="1"/>
    <x v="0"/>
    <n v="46.38"/>
    <n v="329.26"/>
    <n v="335.02"/>
    <n v="190.81"/>
    <n v="28.25"/>
    <x v="1"/>
    <x v="882"/>
    <x v="3"/>
  </r>
  <r>
    <n v="996"/>
    <x v="4"/>
    <x v="0"/>
    <n v="52.8"/>
    <n v="344.64"/>
    <n v="449.81"/>
    <n v="209.41"/>
    <n v="28.99"/>
    <x v="0"/>
    <x v="883"/>
    <x v="3"/>
  </r>
  <r>
    <n v="998"/>
    <x v="2"/>
    <x v="3"/>
    <n v="58.73"/>
    <n v="559.39"/>
    <n v="700.57"/>
    <n v="200.04"/>
    <n v="27.98"/>
    <x v="2"/>
    <x v="884"/>
    <x v="3"/>
  </r>
  <r>
    <n v="999"/>
    <x v="0"/>
    <x v="2"/>
    <n v="48.75"/>
    <n v="389.56"/>
    <n v="339.9"/>
    <n v="185.47"/>
    <n v="36.200000000000003"/>
    <x v="0"/>
    <x v="885"/>
    <x v="3"/>
  </r>
  <r>
    <n v="1000"/>
    <x v="4"/>
    <x v="4"/>
    <n v="38.270000000000003"/>
    <n v="592.4"/>
    <n v="542.47"/>
    <n v="170.29"/>
    <n v="30"/>
    <x v="0"/>
    <x v="886"/>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9" cacheId="88"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A67:D68" firstHeaderRow="0" firstDataRow="1" firstDataCol="0"/>
  <pivotFields count="13">
    <pivotField showAll="0"/>
    <pivotField showAll="0">
      <items count="7">
        <item x="3"/>
        <item x="1"/>
        <item x="4"/>
        <item x="2"/>
        <item x="0"/>
        <item m="1" x="5"/>
        <item t="default"/>
      </items>
    </pivotField>
    <pivotField showAll="0">
      <items count="7">
        <item x="1"/>
        <item x="0"/>
        <item x="3"/>
        <item x="4"/>
        <item x="2"/>
        <item m="1" x="5"/>
        <item t="default"/>
      </items>
    </pivotField>
    <pivotField dataField="1" showAll="0"/>
    <pivotField dataField="1" showAll="0"/>
    <pivotField dataField="1" showAll="0"/>
    <pivotField showAll="0"/>
    <pivotField showAll="0"/>
    <pivotField dataField="1" showAll="0">
      <items count="5">
        <item x="0"/>
        <item x="2"/>
        <item x="1"/>
        <item m="1" x="3"/>
        <item t="default"/>
      </items>
    </pivotField>
    <pivotField showAll="0">
      <items count="15">
        <item x="0"/>
        <item x="1"/>
        <item x="2"/>
        <item x="3"/>
        <item x="4"/>
        <item x="5"/>
        <item x="6"/>
        <item x="7"/>
        <item x="8"/>
        <item x="9"/>
        <item x="10"/>
        <item x="11"/>
        <item x="12"/>
        <item x="13"/>
        <item t="default"/>
      </items>
    </pivotField>
    <pivotField showAll="0"/>
    <pivotField showAll="0" defaultSubtotal="0"/>
    <pivotField showAll="0" defaultSubtotal="0"/>
  </pivotFields>
  <rowItems count="1">
    <i/>
  </rowItems>
  <colFields count="1">
    <field x="-2"/>
  </colFields>
  <colItems count="4">
    <i>
      <x/>
    </i>
    <i i="1">
      <x v="1"/>
    </i>
    <i i="2">
      <x v="2"/>
    </i>
    <i i="3">
      <x v="3"/>
    </i>
  </colItems>
  <dataFields count="4">
    <dataField name="Sum of Demand_Tons" fld="4" baseField="0" baseItem="0"/>
    <dataField name="Sum of Price_per_kg" fld="3" baseField="0" baseItem="0"/>
    <dataField name="Sum of Supply_Tons" fld="5" baseField="0" baseItem="0"/>
    <dataField name="Count of Import_Export" fld="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8" cacheId="88"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3">
  <location ref="A57:B63" firstHeaderRow="1" firstDataRow="1" firstDataCol="1"/>
  <pivotFields count="13">
    <pivotField showAll="0"/>
    <pivotField showAll="0">
      <items count="7">
        <item x="3"/>
        <item x="1"/>
        <item x="4"/>
        <item x="2"/>
        <item x="0"/>
        <item m="1" x="5"/>
        <item t="default"/>
      </items>
    </pivotField>
    <pivotField axis="axisRow" showAll="0">
      <items count="7">
        <item x="1"/>
        <item x="0"/>
        <item x="3"/>
        <item x="2"/>
        <item m="1" x="5"/>
        <item x="4"/>
        <item t="default"/>
      </items>
    </pivotField>
    <pivotField showAll="0"/>
    <pivotField dataField="1" showAll="0"/>
    <pivotField showAll="0"/>
    <pivotField showAll="0"/>
    <pivotField showAll="0"/>
    <pivotField showAll="0">
      <items count="5">
        <item x="0"/>
        <item x="2"/>
        <item x="1"/>
        <item m="1" x="3"/>
        <item t="default"/>
      </items>
    </pivotField>
    <pivotField showAll="0">
      <items count="15">
        <item x="0"/>
        <item x="1"/>
        <item x="2"/>
        <item x="3"/>
        <item x="4"/>
        <item x="5"/>
        <item x="6"/>
        <item x="7"/>
        <item x="8"/>
        <item x="9"/>
        <item x="10"/>
        <item x="11"/>
        <item x="12"/>
        <item x="13"/>
        <item t="default"/>
      </items>
    </pivotField>
    <pivotField showAll="0"/>
    <pivotField showAll="0" defaultSubtotal="0"/>
    <pivotField showAll="0" defaultSubtotal="0"/>
  </pivotFields>
  <rowFields count="1">
    <field x="2"/>
  </rowFields>
  <rowItems count="6">
    <i>
      <x/>
    </i>
    <i>
      <x v="1"/>
    </i>
    <i>
      <x v="2"/>
    </i>
    <i>
      <x v="3"/>
    </i>
    <i>
      <x v="5"/>
    </i>
    <i t="grand">
      <x/>
    </i>
  </rowItems>
  <colItems count="1">
    <i/>
  </colItems>
  <dataFields count="1">
    <dataField name="Sum of Demand_Tons" fld="4"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6" cacheId="88"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5">
  <location ref="A30:B36" firstHeaderRow="1" firstDataRow="1" firstDataCol="1"/>
  <pivotFields count="13">
    <pivotField showAll="0"/>
    <pivotField axis="axisRow" showAll="0">
      <items count="7">
        <item x="3"/>
        <item x="1"/>
        <item x="4"/>
        <item x="0"/>
        <item m="1" x="5"/>
        <item x="2"/>
        <item t="default"/>
      </items>
    </pivotField>
    <pivotField showAll="0">
      <items count="7">
        <item x="1"/>
        <item x="0"/>
        <item x="3"/>
        <item x="4"/>
        <item x="2"/>
        <item m="1" x="5"/>
        <item t="default"/>
      </items>
    </pivotField>
    <pivotField dataField="1" showAll="0"/>
    <pivotField showAll="0"/>
    <pivotField showAll="0"/>
    <pivotField showAll="0"/>
    <pivotField showAll="0"/>
    <pivotField showAll="0">
      <items count="5">
        <item x="0"/>
        <item x="2"/>
        <item x="1"/>
        <item m="1" x="3"/>
        <item t="default"/>
      </items>
    </pivotField>
    <pivotField showAll="0">
      <items count="15">
        <item x="0"/>
        <item x="1"/>
        <item x="2"/>
        <item x="3"/>
        <item x="4"/>
        <item x="5"/>
        <item x="6"/>
        <item x="7"/>
        <item x="8"/>
        <item x="9"/>
        <item x="10"/>
        <item x="11"/>
        <item x="12"/>
        <item x="13"/>
        <item t="default"/>
      </items>
    </pivotField>
    <pivotField showAll="0"/>
    <pivotField showAll="0">
      <items count="7">
        <item x="0"/>
        <item x="1"/>
        <item x="2"/>
        <item x="3"/>
        <item x="4"/>
        <item x="5"/>
        <item t="default"/>
      </items>
    </pivotField>
    <pivotField showAll="0">
      <items count="6">
        <item x="0"/>
        <item x="1"/>
        <item x="2"/>
        <item x="3"/>
        <item x="4"/>
        <item t="default"/>
      </items>
    </pivotField>
  </pivotFields>
  <rowFields count="1">
    <field x="1"/>
  </rowFields>
  <rowItems count="6">
    <i>
      <x/>
    </i>
    <i>
      <x v="1"/>
    </i>
    <i>
      <x v="2"/>
    </i>
    <i>
      <x v="3"/>
    </i>
    <i>
      <x v="5"/>
    </i>
    <i t="grand">
      <x/>
    </i>
  </rowItems>
  <colItems count="1">
    <i/>
  </colItems>
  <dataFields count="1">
    <dataField name="Average of Price_per_kg" fld="3" subtotal="average" baseField="1" baseItem="0" numFmtId="166"/>
  </dataFields>
  <formats count="1">
    <format dxfId="2">
      <pivotArea outline="0" collapsedLevelsAreSubtotals="1" fieldPosition="0"/>
    </format>
  </formats>
  <chartFormats count="2">
    <chartFormat chart="0" format="4"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4" cacheId="88"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3">
  <location ref="A20:C26" firstHeaderRow="0" firstDataRow="1" firstDataCol="1"/>
  <pivotFields count="13">
    <pivotField showAll="0"/>
    <pivotField axis="axisRow" showAll="0">
      <items count="7">
        <item x="3"/>
        <item x="1"/>
        <item x="4"/>
        <item x="0"/>
        <item m="1" x="5"/>
        <item x="2"/>
        <item t="default"/>
      </items>
    </pivotField>
    <pivotField showAll="0">
      <items count="7">
        <item x="1"/>
        <item x="0"/>
        <item x="3"/>
        <item x="4"/>
        <item x="2"/>
        <item m="1" x="5"/>
        <item t="default"/>
      </items>
    </pivotField>
    <pivotField showAll="0"/>
    <pivotField dataField="1" showAll="0"/>
    <pivotField dataField="1" showAll="0"/>
    <pivotField showAll="0"/>
    <pivotField showAll="0"/>
    <pivotField showAll="0">
      <items count="5">
        <item x="0"/>
        <item x="2"/>
        <item x="1"/>
        <item m="1" x="3"/>
        <item t="default"/>
      </items>
    </pivotField>
    <pivotField showAll="0">
      <items count="15">
        <item x="0"/>
        <item x="1"/>
        <item x="2"/>
        <item x="3"/>
        <item x="4"/>
        <item x="5"/>
        <item x="6"/>
        <item x="7"/>
        <item x="8"/>
        <item x="9"/>
        <item x="10"/>
        <item x="11"/>
        <item x="12"/>
        <item x="13"/>
        <item t="default"/>
      </items>
    </pivotField>
    <pivotField showAll="0"/>
    <pivotField showAll="0">
      <items count="7">
        <item x="0"/>
        <item x="1"/>
        <item x="2"/>
        <item x="3"/>
        <item x="4"/>
        <item x="5"/>
        <item t="default"/>
      </items>
    </pivotField>
    <pivotField showAll="0">
      <items count="6">
        <item x="0"/>
        <item x="1"/>
        <item x="2"/>
        <item x="3"/>
        <item x="4"/>
        <item t="default"/>
      </items>
    </pivotField>
  </pivotFields>
  <rowFields count="1">
    <field x="1"/>
  </rowFields>
  <rowItems count="6">
    <i>
      <x/>
    </i>
    <i>
      <x v="1"/>
    </i>
    <i>
      <x v="2"/>
    </i>
    <i>
      <x v="3"/>
    </i>
    <i>
      <x v="5"/>
    </i>
    <i t="grand">
      <x/>
    </i>
  </rowItems>
  <colFields count="1">
    <field x="-2"/>
  </colFields>
  <colItems count="2">
    <i>
      <x/>
    </i>
    <i i="1">
      <x v="1"/>
    </i>
  </colItems>
  <dataFields count="2">
    <dataField name="Total Demand_Tons" fld="4" baseField="1" baseItem="0"/>
    <dataField name="Total Supply_Tons" fld="5" baseField="1"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3" cacheId="88"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4">
  <location ref="A12:B18" firstHeaderRow="1" firstDataRow="1" firstDataCol="1"/>
  <pivotFields count="13">
    <pivotField showAll="0"/>
    <pivotField showAll="0">
      <items count="7">
        <item x="3"/>
        <item x="1"/>
        <item x="4"/>
        <item x="2"/>
        <item x="0"/>
        <item m="1" x="5"/>
        <item t="default"/>
      </items>
    </pivotField>
    <pivotField axis="axisRow" showAll="0">
      <items count="7">
        <item x="1"/>
        <item x="0"/>
        <item x="3"/>
        <item x="2"/>
        <item m="1" x="5"/>
        <item x="4"/>
        <item t="default"/>
      </items>
    </pivotField>
    <pivotField dataField="1" showAll="0"/>
    <pivotField showAll="0"/>
    <pivotField showAll="0"/>
    <pivotField showAll="0"/>
    <pivotField showAll="0"/>
    <pivotField showAll="0">
      <items count="5">
        <item x="0"/>
        <item x="2"/>
        <item x="1"/>
        <item m="1" x="3"/>
        <item t="default"/>
      </items>
    </pivotField>
    <pivotField showAll="0">
      <items count="15">
        <item x="0"/>
        <item x="1"/>
        <item x="2"/>
        <item x="3"/>
        <item x="4"/>
        <item x="5"/>
        <item x="6"/>
        <item x="7"/>
        <item x="8"/>
        <item x="9"/>
        <item x="10"/>
        <item x="11"/>
        <item x="12"/>
        <item x="13"/>
        <item t="default"/>
      </items>
    </pivotField>
    <pivotField showAll="0"/>
    <pivotField showAll="0">
      <items count="7">
        <item x="0"/>
        <item x="1"/>
        <item x="2"/>
        <item x="3"/>
        <item x="4"/>
        <item x="5"/>
        <item t="default"/>
      </items>
    </pivotField>
    <pivotField showAll="0">
      <items count="6">
        <item x="0"/>
        <item x="1"/>
        <item x="2"/>
        <item x="3"/>
        <item x="4"/>
        <item t="default"/>
      </items>
    </pivotField>
  </pivotFields>
  <rowFields count="1">
    <field x="2"/>
  </rowFields>
  <rowItems count="6">
    <i>
      <x/>
    </i>
    <i>
      <x v="1"/>
    </i>
    <i>
      <x v="2"/>
    </i>
    <i>
      <x v="3"/>
    </i>
    <i>
      <x v="5"/>
    </i>
    <i t="grand">
      <x/>
    </i>
  </rowItems>
  <colItems count="1">
    <i/>
  </colItems>
  <dataFields count="1">
    <dataField name="Average of Price_per_kg" fld="3" subtotal="average" baseField="2" baseItem="0"/>
  </dataFields>
  <formats count="2">
    <format dxfId="1">
      <pivotArea collapsedLevelsAreSubtotals="1" fieldPosition="0">
        <references count="1">
          <reference field="2" count="0"/>
        </references>
      </pivotArea>
    </format>
    <format dxfId="0">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PivotTable2" cacheId="88"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3">
  <location ref="A7:B11" firstHeaderRow="1" firstDataRow="1" firstDataCol="1"/>
  <pivotFields count="13">
    <pivotField showAll="0"/>
    <pivotField showAll="0">
      <items count="7">
        <item x="3"/>
        <item x="1"/>
        <item x="4"/>
        <item x="2"/>
        <item x="0"/>
        <item m="1" x="5"/>
        <item t="default"/>
      </items>
    </pivotField>
    <pivotField showAll="0">
      <items count="7">
        <item x="1"/>
        <item x="0"/>
        <item x="3"/>
        <item x="4"/>
        <item x="2"/>
        <item m="1" x="5"/>
        <item t="default"/>
      </items>
    </pivotField>
    <pivotField showAll="0"/>
    <pivotField showAll="0"/>
    <pivotField showAll="0"/>
    <pivotField showAll="0"/>
    <pivotField showAll="0"/>
    <pivotField axis="axisRow" dataField="1" showAll="0">
      <items count="5">
        <item x="0"/>
        <item x="2"/>
        <item m="1" x="3"/>
        <item x="1"/>
        <item t="default"/>
      </items>
    </pivotField>
    <pivotField showAll="0">
      <items count="15">
        <item x="0"/>
        <item x="1"/>
        <item x="2"/>
        <item x="3"/>
        <item x="4"/>
        <item x="5"/>
        <item x="6"/>
        <item x="7"/>
        <item x="8"/>
        <item x="9"/>
        <item x="10"/>
        <item x="11"/>
        <item x="12"/>
        <item x="13"/>
        <item t="default"/>
      </items>
    </pivotField>
    <pivotField showAll="0"/>
    <pivotField showAll="0">
      <items count="7">
        <item x="0"/>
        <item x="1"/>
        <item x="2"/>
        <item x="3"/>
        <item x="4"/>
        <item x="5"/>
        <item t="default"/>
      </items>
    </pivotField>
    <pivotField showAll="0">
      <items count="6">
        <item x="0"/>
        <item x="1"/>
        <item x="2"/>
        <item x="3"/>
        <item x="4"/>
        <item t="default"/>
      </items>
    </pivotField>
  </pivotFields>
  <rowFields count="1">
    <field x="8"/>
  </rowFields>
  <rowItems count="4">
    <i>
      <x/>
    </i>
    <i>
      <x v="1"/>
    </i>
    <i>
      <x v="3"/>
    </i>
    <i t="grand">
      <x/>
    </i>
  </rowItems>
  <colItems count="1">
    <i/>
  </colItems>
  <dataFields count="1">
    <dataField name="Total shipment" fld="8" subtotal="count" showDataAs="percentOfTotal" baseField="8" baseItem="0" numFmtId="10"/>
  </dataFields>
  <chartFormats count="4">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8" count="1" selected="0">
            <x v="0"/>
          </reference>
        </references>
      </pivotArea>
    </chartFormat>
    <chartFormat chart="2" format="6">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name="PivotTable1" cacheId="88"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5">
  <location ref="A1:C5" firstHeaderRow="0" firstDataRow="1" firstDataCol="1"/>
  <pivotFields count="13">
    <pivotField showAll="0"/>
    <pivotField showAll="0">
      <items count="7">
        <item x="3"/>
        <item x="1"/>
        <item x="4"/>
        <item x="2"/>
        <item x="0"/>
        <item m="1" x="5"/>
        <item t="default"/>
      </items>
    </pivotField>
    <pivotField showAll="0">
      <items count="7">
        <item x="1"/>
        <item x="0"/>
        <item x="3"/>
        <item x="4"/>
        <item x="2"/>
        <item m="1" x="5"/>
        <item t="default"/>
      </items>
    </pivotField>
    <pivotField showAll="0"/>
    <pivotField dataField="1" showAll="0"/>
    <pivotField dataField="1" showAll="0"/>
    <pivotField showAll="0"/>
    <pivotField showAll="0"/>
    <pivotField showAll="0">
      <items count="5">
        <item x="0"/>
        <item x="2"/>
        <item x="1"/>
        <item m="1" x="3"/>
        <item t="default"/>
      </items>
    </pivotField>
    <pivotField showAll="0">
      <items count="15">
        <item x="0"/>
        <item x="1"/>
        <item x="2"/>
        <item x="3"/>
        <item x="4"/>
        <item x="5"/>
        <item x="6"/>
        <item x="7"/>
        <item x="8"/>
        <item x="9"/>
        <item x="10"/>
        <item x="11"/>
        <item x="12"/>
        <item x="13"/>
        <item t="default"/>
      </items>
    </pivotField>
    <pivotField axis="axisRow" showAll="0">
      <items count="5">
        <item x="0"/>
        <item x="2"/>
        <item x="3"/>
        <item h="1" x="1"/>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0"/>
  </rowFields>
  <rowItems count="4">
    <i>
      <x/>
    </i>
    <i>
      <x v="1"/>
    </i>
    <i>
      <x v="2"/>
    </i>
    <i t="grand">
      <x/>
    </i>
  </rowItems>
  <colFields count="1">
    <field x="-2"/>
  </colFields>
  <colItems count="2">
    <i>
      <x/>
    </i>
    <i i="1">
      <x v="1"/>
    </i>
  </colItems>
  <dataFields count="2">
    <dataField name="Total Demand_Tons" fld="4" baseField="10" baseItem="0"/>
    <dataField name="Total Supply_Tons" fld="5" baseField="10" baseItem="0"/>
  </dataFields>
  <chartFormats count="4">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4" format="8" series="1">
      <pivotArea type="data" outline="0" fieldPosition="0">
        <references count="1">
          <reference field="4294967294" count="1" selected="0">
            <x v="0"/>
          </reference>
        </references>
      </pivotArea>
    </chartFormat>
    <chartFormat chart="4"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ice_Type" sourceName="Rice_Type">
  <pivotTables>
    <pivotTable tabId="2" name="PivotTable4"/>
    <pivotTable tabId="2" name="PivotTable1"/>
    <pivotTable tabId="2" name="PivotTable2"/>
    <pivotTable tabId="2" name="PivotTable3"/>
    <pivotTable tabId="2" name="PivotTable6"/>
    <pivotTable tabId="2" name="PivotTable8"/>
    <pivotTable tabId="2" name="PivotTable9"/>
  </pivotTables>
  <data>
    <tabular pivotCacheId="1305062597">
      <items count="6">
        <i x="1" s="1"/>
        <i x="0" s="1"/>
        <i x="3" s="1"/>
        <i x="4" s="1"/>
        <i x="2" s="1"/>
        <i x="5"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Import_Export" sourceName="Import_Export">
  <pivotTables>
    <pivotTable tabId="2" name="PivotTable4"/>
    <pivotTable tabId="2" name="PivotTable1"/>
    <pivotTable tabId="2" name="PivotTable2"/>
    <pivotTable tabId="2" name="PivotTable3"/>
    <pivotTable tabId="2" name="PivotTable6"/>
    <pivotTable tabId="2" name="PivotTable8"/>
    <pivotTable tabId="2" name="PivotTable9"/>
  </pivotTables>
  <data>
    <tabular pivotCacheId="1305062597">
      <items count="4">
        <i x="0" s="1"/>
        <i x="2" s="1"/>
        <i x="1" s="1"/>
        <i x="3"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2" name="PivotTable4"/>
    <pivotTable tabId="2" name="PivotTable1"/>
    <pivotTable tabId="2" name="PivotTable2"/>
    <pivotTable tabId="2" name="PivotTable3"/>
    <pivotTable tabId="2" name="PivotTable6"/>
    <pivotTable tabId="2" name="PivotTable8"/>
    <pivotTable tabId="2" name="PivotTable9"/>
  </pivotTables>
  <data>
    <tabular pivotCacheId="1305062597">
      <items count="6">
        <i x="3" s="1"/>
        <i x="1" s="1"/>
        <i x="4" s="1"/>
        <i x="2" s="1"/>
        <i x="0" s="1"/>
        <i x="5"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ice_Type" cache="Slicer_Rice_Type" caption="Rice_Type" rowHeight="241300"/>
  <slicer name="Import_Export" cache="Slicer_Import_Export" caption="Import_Export" rowHeight="241300"/>
  <slicer name="Region 2" cache="Slicer_Region" caption="Region" rowHeight="241300"/>
  <slicer name="Region" cache="Slicer_Region" caption="Region"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Rice_Type 1" cache="Slicer_Rice_Type" caption="Rice_Type" rowHeight="241300"/>
  <slicer name="Import_Export 1" cache="Slicer_Import_Export" caption="Import_Export" rowHeight="241300"/>
  <slicer name="Region 1" cache="Slicer_Region" caption="Region" rowHeight="241300"/>
</slicers>
</file>

<file path=xl/tables/table1.xml><?xml version="1.0" encoding="utf-8"?>
<table xmlns="http://schemas.openxmlformats.org/spreadsheetml/2006/main" id="1" name="Table1" displayName="Table1" ref="A1:K899" totalsRowShown="0">
  <autoFilter ref="A1:K899"/>
  <tableColumns count="11">
    <tableColumn id="1" name="Rice_ID"/>
    <tableColumn id="2" name="Region"/>
    <tableColumn id="3" name="Rice_Type"/>
    <tableColumn id="4" name="Price_per_kg" dataDxfId="3"/>
    <tableColumn id="5" name="Demand_Tons"/>
    <tableColumn id="6" name="Supply_Tons"/>
    <tableColumn id="7" name="Rainfall_mm"/>
    <tableColumn id="8" name="Temperature_C"/>
    <tableColumn id="9" name="Import_Export"/>
    <tableColumn id="10" name="Date" dataDxfId="4"/>
    <tableColumn id="11" name="Yea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name="NativeTimeline_Date" sourceName="Date">
  <pivotTables>
    <pivotTable tabId="2" name="PivotTable4"/>
    <pivotTable tabId="2" name="PivotTable1"/>
    <pivotTable tabId="2" name="PivotTable2"/>
    <pivotTable tabId="2" name="PivotTable3"/>
    <pivotTable tabId="2" name="PivotTable6"/>
    <pivotTable tabId="2" name="PivotTable8"/>
    <pivotTable tabId="2" name="PivotTable9"/>
  </pivotTables>
  <state minimalRefreshVersion="6" lastRefreshVersion="6" pivotCacheId="1305062597" filterType="unknown">
    <bounds startDate="2023-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Date" cache="NativeTimeline_Date" caption="Date" level="2" selectionLevel="2" scrollPosition="2025-06-07T00:00:00"/>
  <timeline name="Date 1" cache="NativeTimeline_Date" caption="Date" level="2" selectionLevel="2" scrollPosition="2025-06-07T00:00:00"/>
  <timeline name="Date 2" cache="NativeTimeline_Date" caption="Date" level="2" selectionLevel="2" scrollPosition="2025-06-07T00:00:00"/>
</timelines>
</file>

<file path=xl/timelines/timeline2.xml><?xml version="1.0" encoding="utf-8"?>
<timelines xmlns="http://schemas.microsoft.com/office/spreadsheetml/2010/11/main" xmlns:mc="http://schemas.openxmlformats.org/markup-compatibility/2006" xmlns:x="http://schemas.openxmlformats.org/spreadsheetml/2006/main" mc:Ignorable="x">
  <timeline name="Date 3" cache="NativeTimeline_Date" caption="Date" level="0" selectionLevel="0" scrollPosition="2023-01-01T00:00:00"/>
  <timeline name="Date 4" cache="NativeTimeline_Date" caption="Date" level="2" selectionLevel="2" scrollPosition="2023-03-14T00:00:00"/>
  <timeline name="Date 5" cache="NativeTimeline_Date" caption="Date" level="3" selectionLevel="3" scrollPosition="2023-04-10T00:00:00"/>
</timeline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11/relationships/timeline" Target="../timelines/timeline1.xml"/><Relationship Id="rId4" Type="http://schemas.openxmlformats.org/officeDocument/2006/relationships/pivotTable" Target="../pivotTables/pivotTable4.xml"/><Relationship Id="rId9"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microsoft.com/office/2011/relationships/timeline" Target="../timelines/timelin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899"/>
  <sheetViews>
    <sheetView workbookViewId="0">
      <selection activeCell="D2" sqref="D2:D899"/>
    </sheetView>
  </sheetViews>
  <sheetFormatPr defaultRowHeight="15" x14ac:dyDescent="0.25"/>
  <cols>
    <col min="1" max="1" width="9.7109375" customWidth="1"/>
    <col min="2" max="2" width="9.28515625" customWidth="1"/>
    <col min="3" max="3" width="12.140625" customWidth="1"/>
    <col min="4" max="4" width="14.5703125" customWidth="1"/>
    <col min="5" max="5" width="15.7109375" customWidth="1"/>
    <col min="6" max="7" width="14.28515625" customWidth="1"/>
    <col min="8" max="8" width="16.85546875" customWidth="1"/>
    <col min="9" max="9" width="15.85546875" customWidth="1"/>
  </cols>
  <sheetData>
    <row r="1" spans="1:11" x14ac:dyDescent="0.25">
      <c r="A1" t="s">
        <v>0</v>
      </c>
      <c r="B1" t="s">
        <v>1</v>
      </c>
      <c r="C1" t="s">
        <v>2</v>
      </c>
      <c r="D1" t="s">
        <v>3</v>
      </c>
      <c r="E1" t="s">
        <v>4</v>
      </c>
      <c r="F1" t="s">
        <v>5</v>
      </c>
      <c r="G1" t="s">
        <v>6</v>
      </c>
      <c r="H1" t="s">
        <v>7</v>
      </c>
      <c r="I1" t="s">
        <v>8</v>
      </c>
      <c r="J1" t="s">
        <v>9</v>
      </c>
      <c r="K1" t="s">
        <v>10</v>
      </c>
    </row>
    <row r="2" spans="1:11" x14ac:dyDescent="0.25">
      <c r="A2">
        <v>2</v>
      </c>
      <c r="B2" t="s">
        <v>11</v>
      </c>
      <c r="C2" t="s">
        <v>12</v>
      </c>
      <c r="D2" s="6">
        <v>43.31</v>
      </c>
      <c r="E2">
        <v>539.04999999999995</v>
      </c>
      <c r="F2">
        <v>420.87</v>
      </c>
      <c r="G2">
        <v>106.16</v>
      </c>
      <c r="H2">
        <v>36.42</v>
      </c>
      <c r="I2" t="s">
        <v>13</v>
      </c>
      <c r="J2" s="1">
        <v>44928</v>
      </c>
      <c r="K2">
        <v>2023</v>
      </c>
    </row>
    <row r="3" spans="1:11" x14ac:dyDescent="0.25">
      <c r="A3">
        <v>3</v>
      </c>
      <c r="B3" t="s">
        <v>14</v>
      </c>
      <c r="C3" t="s">
        <v>15</v>
      </c>
      <c r="D3" s="6">
        <v>50.74</v>
      </c>
      <c r="E3">
        <v>525.53</v>
      </c>
      <c r="F3">
        <v>379.67</v>
      </c>
      <c r="G3">
        <v>220.53</v>
      </c>
      <c r="H3">
        <v>41.03</v>
      </c>
      <c r="I3" t="s">
        <v>13</v>
      </c>
      <c r="J3" s="1">
        <v>44929</v>
      </c>
      <c r="K3">
        <v>2023</v>
      </c>
    </row>
    <row r="4" spans="1:11" x14ac:dyDescent="0.25">
      <c r="A4">
        <v>4</v>
      </c>
      <c r="B4" t="s">
        <v>34</v>
      </c>
      <c r="C4" t="s">
        <v>16</v>
      </c>
      <c r="D4" s="6">
        <v>47.71</v>
      </c>
      <c r="E4">
        <v>604.59</v>
      </c>
      <c r="F4">
        <v>253.83</v>
      </c>
      <c r="G4">
        <v>244.01</v>
      </c>
      <c r="H4">
        <v>36</v>
      </c>
      <c r="I4" t="s">
        <v>34</v>
      </c>
      <c r="J4" s="1">
        <v>44930</v>
      </c>
      <c r="K4">
        <v>2023</v>
      </c>
    </row>
    <row r="5" spans="1:11" x14ac:dyDescent="0.25">
      <c r="A5">
        <v>5</v>
      </c>
      <c r="B5" t="s">
        <v>17</v>
      </c>
      <c r="C5" t="s">
        <v>16</v>
      </c>
      <c r="D5" s="6">
        <v>59.51</v>
      </c>
      <c r="E5">
        <v>355.19</v>
      </c>
      <c r="F5">
        <v>507.52</v>
      </c>
      <c r="G5">
        <v>229.43</v>
      </c>
      <c r="H5">
        <v>23.7</v>
      </c>
      <c r="I5" t="s">
        <v>18</v>
      </c>
      <c r="J5" s="1">
        <v>44931</v>
      </c>
      <c r="K5">
        <v>2023</v>
      </c>
    </row>
    <row r="6" spans="1:11" x14ac:dyDescent="0.25">
      <c r="A6">
        <v>6</v>
      </c>
      <c r="B6" t="s">
        <v>34</v>
      </c>
      <c r="C6" t="s">
        <v>19</v>
      </c>
      <c r="D6" s="6">
        <v>46.57</v>
      </c>
      <c r="E6">
        <v>415.73</v>
      </c>
      <c r="F6">
        <v>685.52</v>
      </c>
      <c r="G6">
        <v>195.8</v>
      </c>
      <c r="H6">
        <v>33.94</v>
      </c>
      <c r="I6" t="s">
        <v>18</v>
      </c>
      <c r="J6" s="1">
        <v>44932</v>
      </c>
      <c r="K6">
        <v>2023</v>
      </c>
    </row>
    <row r="7" spans="1:11" x14ac:dyDescent="0.25">
      <c r="A7">
        <v>7</v>
      </c>
      <c r="B7" t="s">
        <v>14</v>
      </c>
      <c r="C7" t="s">
        <v>20</v>
      </c>
      <c r="D7" s="6">
        <v>55.06</v>
      </c>
      <c r="E7">
        <v>563.98</v>
      </c>
      <c r="F7">
        <v>472.48</v>
      </c>
      <c r="G7">
        <v>216.66</v>
      </c>
      <c r="H7">
        <v>35.119999999999997</v>
      </c>
      <c r="I7" t="s">
        <v>18</v>
      </c>
      <c r="J7" s="1">
        <v>44933</v>
      </c>
      <c r="K7">
        <v>2023</v>
      </c>
    </row>
    <row r="8" spans="1:11" x14ac:dyDescent="0.25">
      <c r="A8">
        <v>8</v>
      </c>
      <c r="B8" t="s">
        <v>34</v>
      </c>
      <c r="C8" t="s">
        <v>15</v>
      </c>
      <c r="D8" s="6">
        <v>49.71</v>
      </c>
      <c r="E8">
        <v>427.47</v>
      </c>
      <c r="F8">
        <v>257.92</v>
      </c>
      <c r="G8">
        <v>208.49</v>
      </c>
      <c r="H8">
        <v>27.98</v>
      </c>
      <c r="I8" t="s">
        <v>18</v>
      </c>
      <c r="J8" s="1">
        <v>44934</v>
      </c>
      <c r="K8">
        <v>2023</v>
      </c>
    </row>
    <row r="9" spans="1:11" x14ac:dyDescent="0.25">
      <c r="A9">
        <v>9</v>
      </c>
      <c r="B9" t="s">
        <v>21</v>
      </c>
      <c r="C9" t="s">
        <v>20</v>
      </c>
      <c r="D9" s="6">
        <v>52.7</v>
      </c>
      <c r="E9">
        <v>524.04999999999995</v>
      </c>
      <c r="F9">
        <v>573.64</v>
      </c>
      <c r="G9">
        <v>115.53</v>
      </c>
      <c r="H9">
        <v>32.44</v>
      </c>
      <c r="I9" t="s">
        <v>13</v>
      </c>
      <c r="J9" s="1">
        <v>44935</v>
      </c>
      <c r="K9">
        <v>2023</v>
      </c>
    </row>
    <row r="10" spans="1:11" x14ac:dyDescent="0.25">
      <c r="A10">
        <v>10</v>
      </c>
      <c r="B10" t="s">
        <v>17</v>
      </c>
      <c r="C10" t="s">
        <v>15</v>
      </c>
      <c r="D10" s="6">
        <v>47.7</v>
      </c>
      <c r="E10">
        <v>258.02999999999997</v>
      </c>
      <c r="F10">
        <v>285.02</v>
      </c>
      <c r="G10">
        <v>209.67</v>
      </c>
      <c r="H10">
        <v>27.72</v>
      </c>
      <c r="I10" t="s">
        <v>22</v>
      </c>
      <c r="J10" s="1">
        <v>44936</v>
      </c>
      <c r="K10">
        <v>2023</v>
      </c>
    </row>
    <row r="11" spans="1:11" x14ac:dyDescent="0.25">
      <c r="A11">
        <v>11</v>
      </c>
      <c r="B11" t="s">
        <v>34</v>
      </c>
      <c r="C11" t="s">
        <v>19</v>
      </c>
      <c r="D11" s="6">
        <v>57.08</v>
      </c>
      <c r="E11">
        <v>771.59</v>
      </c>
      <c r="F11">
        <v>334.92</v>
      </c>
      <c r="G11">
        <v>181.65</v>
      </c>
      <c r="H11">
        <v>37.64</v>
      </c>
      <c r="I11" t="s">
        <v>13</v>
      </c>
      <c r="J11" s="1">
        <v>44937</v>
      </c>
      <c r="K11">
        <v>2023</v>
      </c>
    </row>
    <row r="12" spans="1:11" x14ac:dyDescent="0.25">
      <c r="A12">
        <v>12</v>
      </c>
      <c r="B12" t="s">
        <v>17</v>
      </c>
      <c r="C12" t="s">
        <v>19</v>
      </c>
      <c r="D12" s="6">
        <v>57.23</v>
      </c>
      <c r="E12">
        <v>473.03</v>
      </c>
      <c r="F12">
        <v>451.4</v>
      </c>
      <c r="G12">
        <v>164.76</v>
      </c>
      <c r="H12">
        <v>31.83</v>
      </c>
      <c r="I12" t="s">
        <v>13</v>
      </c>
      <c r="J12" s="1">
        <v>44938</v>
      </c>
      <c r="K12">
        <v>2023</v>
      </c>
    </row>
    <row r="13" spans="1:11" x14ac:dyDescent="0.25">
      <c r="A13">
        <v>13</v>
      </c>
      <c r="B13" t="s">
        <v>17</v>
      </c>
      <c r="C13" t="s">
        <v>16</v>
      </c>
      <c r="D13" s="6">
        <v>54.6</v>
      </c>
      <c r="E13">
        <v>619.4</v>
      </c>
      <c r="F13">
        <v>494.74</v>
      </c>
      <c r="G13">
        <v>324.25</v>
      </c>
      <c r="H13">
        <v>25.41</v>
      </c>
      <c r="I13" t="s">
        <v>18</v>
      </c>
      <c r="J13" s="1">
        <v>44939</v>
      </c>
      <c r="K13">
        <v>2023</v>
      </c>
    </row>
    <row r="14" spans="1:11" x14ac:dyDescent="0.25">
      <c r="A14">
        <v>14</v>
      </c>
      <c r="B14" t="s">
        <v>14</v>
      </c>
      <c r="C14" t="s">
        <v>20</v>
      </c>
      <c r="D14" s="6">
        <v>56.08</v>
      </c>
      <c r="E14">
        <v>466.31</v>
      </c>
      <c r="F14">
        <v>358.96</v>
      </c>
      <c r="G14">
        <v>262.63</v>
      </c>
      <c r="H14">
        <v>33.35</v>
      </c>
      <c r="I14" t="s">
        <v>13</v>
      </c>
      <c r="J14" s="1">
        <v>44940</v>
      </c>
      <c r="K14">
        <v>2023</v>
      </c>
    </row>
    <row r="15" spans="1:11" x14ac:dyDescent="0.25">
      <c r="A15">
        <v>15</v>
      </c>
      <c r="B15" t="s">
        <v>11</v>
      </c>
      <c r="C15" t="s">
        <v>34</v>
      </c>
      <c r="D15" s="6">
        <v>40.56</v>
      </c>
      <c r="E15">
        <v>541.47</v>
      </c>
      <c r="F15">
        <v>446.72</v>
      </c>
      <c r="G15">
        <v>142.49</v>
      </c>
      <c r="H15">
        <v>35.29</v>
      </c>
      <c r="I15" t="s">
        <v>34</v>
      </c>
      <c r="J15" s="1">
        <v>44941</v>
      </c>
      <c r="K15">
        <v>2023</v>
      </c>
    </row>
    <row r="16" spans="1:11" x14ac:dyDescent="0.25">
      <c r="A16">
        <v>16</v>
      </c>
      <c r="B16" t="s">
        <v>17</v>
      </c>
      <c r="C16" t="s">
        <v>16</v>
      </c>
      <c r="D16" s="6">
        <v>53.23</v>
      </c>
      <c r="E16">
        <v>649.19000000000005</v>
      </c>
      <c r="F16">
        <v>565.82000000000005</v>
      </c>
      <c r="G16">
        <v>217.33</v>
      </c>
      <c r="H16">
        <v>30.99</v>
      </c>
      <c r="I16" t="s">
        <v>18</v>
      </c>
      <c r="J16" s="1">
        <v>44942</v>
      </c>
      <c r="K16">
        <v>2023</v>
      </c>
    </row>
    <row r="17" spans="1:11" x14ac:dyDescent="0.25">
      <c r="A17">
        <v>17</v>
      </c>
      <c r="B17" t="s">
        <v>21</v>
      </c>
      <c r="C17" t="s">
        <v>20</v>
      </c>
      <c r="D17" s="6">
        <v>62.49</v>
      </c>
      <c r="E17">
        <v>616.58000000000004</v>
      </c>
      <c r="F17">
        <v>582.26</v>
      </c>
      <c r="G17">
        <v>272.89999999999998</v>
      </c>
      <c r="H17">
        <v>32.4</v>
      </c>
      <c r="I17" t="s">
        <v>13</v>
      </c>
      <c r="J17" s="1">
        <v>44943</v>
      </c>
      <c r="K17">
        <v>2023</v>
      </c>
    </row>
    <row r="18" spans="1:11" x14ac:dyDescent="0.25">
      <c r="A18">
        <v>18</v>
      </c>
      <c r="B18" t="s">
        <v>14</v>
      </c>
      <c r="C18" t="s">
        <v>16</v>
      </c>
      <c r="D18" s="6">
        <v>54.91</v>
      </c>
      <c r="E18">
        <v>479.55</v>
      </c>
      <c r="F18">
        <v>630.16999999999996</v>
      </c>
      <c r="G18">
        <v>125.19</v>
      </c>
      <c r="H18">
        <v>29.65</v>
      </c>
      <c r="I18" t="s">
        <v>18</v>
      </c>
      <c r="J18" s="1">
        <v>44944</v>
      </c>
      <c r="K18">
        <v>2023</v>
      </c>
    </row>
    <row r="19" spans="1:11" x14ac:dyDescent="0.25">
      <c r="A19">
        <v>19</v>
      </c>
      <c r="B19" t="s">
        <v>21</v>
      </c>
      <c r="C19" t="s">
        <v>34</v>
      </c>
      <c r="D19" s="6">
        <v>39.69</v>
      </c>
      <c r="E19">
        <v>486.47</v>
      </c>
      <c r="F19">
        <v>709.13</v>
      </c>
      <c r="G19">
        <v>203.85</v>
      </c>
      <c r="H19">
        <v>24.33</v>
      </c>
      <c r="I19" t="s">
        <v>13</v>
      </c>
      <c r="J19" s="1">
        <v>44945</v>
      </c>
      <c r="K19">
        <v>2023</v>
      </c>
    </row>
    <row r="20" spans="1:11" x14ac:dyDescent="0.25">
      <c r="A20">
        <v>20</v>
      </c>
      <c r="B20" t="s">
        <v>11</v>
      </c>
      <c r="C20" t="s">
        <v>12</v>
      </c>
      <c r="D20" s="6">
        <v>49.5</v>
      </c>
      <c r="E20">
        <v>600.36</v>
      </c>
      <c r="F20">
        <v>577.19000000000005</v>
      </c>
      <c r="G20">
        <v>206.2</v>
      </c>
      <c r="H20">
        <v>29.24</v>
      </c>
      <c r="I20" t="s">
        <v>13</v>
      </c>
      <c r="J20" s="1">
        <v>44946</v>
      </c>
      <c r="K20">
        <v>2023</v>
      </c>
    </row>
    <row r="21" spans="1:11" x14ac:dyDescent="0.25">
      <c r="A21">
        <v>21</v>
      </c>
      <c r="B21" t="s">
        <v>21</v>
      </c>
      <c r="C21" t="s">
        <v>12</v>
      </c>
      <c r="D21" s="6">
        <v>53.75</v>
      </c>
      <c r="E21">
        <v>733.32</v>
      </c>
      <c r="F21">
        <v>453.99</v>
      </c>
      <c r="G21">
        <v>136.28</v>
      </c>
      <c r="H21">
        <v>32.619999999999997</v>
      </c>
      <c r="I21" t="s">
        <v>22</v>
      </c>
      <c r="J21" s="1">
        <v>44947</v>
      </c>
      <c r="K21">
        <v>2023</v>
      </c>
    </row>
    <row r="22" spans="1:11" x14ac:dyDescent="0.25">
      <c r="A22">
        <v>22</v>
      </c>
      <c r="B22" t="s">
        <v>21</v>
      </c>
      <c r="C22" t="s">
        <v>12</v>
      </c>
      <c r="D22" s="6">
        <v>42.43</v>
      </c>
      <c r="E22">
        <v>519.23</v>
      </c>
      <c r="F22">
        <v>583.12</v>
      </c>
      <c r="G22">
        <v>218.98</v>
      </c>
      <c r="H22">
        <v>29.36</v>
      </c>
      <c r="I22" t="s">
        <v>22</v>
      </c>
      <c r="J22" s="1">
        <v>44948</v>
      </c>
      <c r="K22">
        <v>2023</v>
      </c>
    </row>
    <row r="23" spans="1:11" x14ac:dyDescent="0.25">
      <c r="A23">
        <v>23</v>
      </c>
      <c r="B23" t="s">
        <v>21</v>
      </c>
      <c r="C23" t="s">
        <v>12</v>
      </c>
      <c r="D23" s="6">
        <v>36.42</v>
      </c>
      <c r="E23">
        <v>695.71</v>
      </c>
      <c r="F23">
        <v>536.01</v>
      </c>
      <c r="G23">
        <v>255.81</v>
      </c>
      <c r="H23">
        <v>34</v>
      </c>
      <c r="I23" t="s">
        <v>13</v>
      </c>
      <c r="J23" s="1">
        <v>44949</v>
      </c>
      <c r="K23">
        <v>2023</v>
      </c>
    </row>
    <row r="24" spans="1:11" x14ac:dyDescent="0.25">
      <c r="A24">
        <v>24</v>
      </c>
      <c r="B24" t="s">
        <v>11</v>
      </c>
      <c r="C24" t="s">
        <v>15</v>
      </c>
      <c r="D24" s="6">
        <v>46.84</v>
      </c>
      <c r="E24">
        <v>475.86</v>
      </c>
      <c r="F24">
        <v>540.76</v>
      </c>
      <c r="G24">
        <v>275.39999999999998</v>
      </c>
      <c r="H24">
        <v>28.04</v>
      </c>
      <c r="I24" t="s">
        <v>13</v>
      </c>
      <c r="J24" s="1">
        <v>44950</v>
      </c>
      <c r="K24">
        <v>2023</v>
      </c>
    </row>
    <row r="25" spans="1:11" x14ac:dyDescent="0.25">
      <c r="A25">
        <v>25</v>
      </c>
      <c r="B25" t="s">
        <v>14</v>
      </c>
      <c r="C25" t="s">
        <v>12</v>
      </c>
      <c r="D25" s="6">
        <v>42.59</v>
      </c>
      <c r="E25">
        <v>595.20000000000005</v>
      </c>
      <c r="F25">
        <v>501.27</v>
      </c>
      <c r="G25">
        <v>187.53</v>
      </c>
      <c r="H25">
        <v>28.37</v>
      </c>
      <c r="I25" t="s">
        <v>13</v>
      </c>
      <c r="J25" s="1">
        <v>44951</v>
      </c>
      <c r="K25">
        <v>2023</v>
      </c>
    </row>
    <row r="26" spans="1:11" x14ac:dyDescent="0.25">
      <c r="A26">
        <v>27</v>
      </c>
      <c r="B26" t="s">
        <v>11</v>
      </c>
      <c r="C26" t="s">
        <v>19</v>
      </c>
      <c r="D26" s="6">
        <v>34.090000000000003</v>
      </c>
      <c r="E26">
        <v>459</v>
      </c>
      <c r="F26">
        <v>356.63</v>
      </c>
      <c r="G26">
        <v>97.1</v>
      </c>
      <c r="H26">
        <v>31.11</v>
      </c>
      <c r="I26" t="s">
        <v>34</v>
      </c>
      <c r="J26" s="1">
        <v>44953</v>
      </c>
      <c r="K26">
        <v>2023</v>
      </c>
    </row>
    <row r="27" spans="1:11" x14ac:dyDescent="0.25">
      <c r="A27">
        <v>28</v>
      </c>
      <c r="B27" t="s">
        <v>21</v>
      </c>
      <c r="C27" t="s">
        <v>19</v>
      </c>
      <c r="D27" s="6">
        <v>55.65</v>
      </c>
      <c r="E27">
        <v>425.29</v>
      </c>
      <c r="F27">
        <v>468.35</v>
      </c>
      <c r="G27">
        <v>217.81</v>
      </c>
      <c r="H27">
        <v>27.94</v>
      </c>
      <c r="I27" t="s">
        <v>34</v>
      </c>
      <c r="J27" s="1">
        <v>44954</v>
      </c>
      <c r="K27">
        <v>2023</v>
      </c>
    </row>
    <row r="28" spans="1:11" x14ac:dyDescent="0.25">
      <c r="A28">
        <v>29</v>
      </c>
      <c r="B28" t="s">
        <v>21</v>
      </c>
      <c r="C28" t="s">
        <v>15</v>
      </c>
      <c r="D28" s="6">
        <v>43.65</v>
      </c>
      <c r="E28">
        <v>614.54</v>
      </c>
      <c r="F28">
        <v>497.87</v>
      </c>
      <c r="G28">
        <v>129.38999999999999</v>
      </c>
      <c r="H28">
        <v>35.17</v>
      </c>
      <c r="I28" t="s">
        <v>18</v>
      </c>
      <c r="J28" s="1">
        <v>44955</v>
      </c>
      <c r="K28">
        <v>2023</v>
      </c>
    </row>
    <row r="29" spans="1:11" x14ac:dyDescent="0.25">
      <c r="A29">
        <v>30</v>
      </c>
      <c r="B29" t="s">
        <v>14</v>
      </c>
      <c r="C29" t="s">
        <v>12</v>
      </c>
      <c r="D29" s="6">
        <v>59.96</v>
      </c>
      <c r="E29">
        <v>446.84</v>
      </c>
      <c r="F29">
        <v>398.47</v>
      </c>
      <c r="G29">
        <v>204.51</v>
      </c>
      <c r="H29">
        <v>26.56</v>
      </c>
      <c r="I29" t="s">
        <v>18</v>
      </c>
      <c r="J29" s="1">
        <v>44956</v>
      </c>
      <c r="K29">
        <v>2023</v>
      </c>
    </row>
    <row r="30" spans="1:11" x14ac:dyDescent="0.25">
      <c r="A30">
        <v>31</v>
      </c>
      <c r="B30" t="s">
        <v>11</v>
      </c>
      <c r="C30" t="s">
        <v>12</v>
      </c>
      <c r="D30" s="6">
        <v>47.23</v>
      </c>
      <c r="E30">
        <v>410.57</v>
      </c>
      <c r="F30">
        <v>530.79999999999995</v>
      </c>
      <c r="G30">
        <v>173.9</v>
      </c>
      <c r="H30">
        <v>26.37</v>
      </c>
      <c r="I30" t="s">
        <v>22</v>
      </c>
      <c r="J30" s="1">
        <v>44957</v>
      </c>
      <c r="K30">
        <v>2023</v>
      </c>
    </row>
    <row r="31" spans="1:11" x14ac:dyDescent="0.25">
      <c r="A31">
        <v>32</v>
      </c>
      <c r="B31" t="s">
        <v>14</v>
      </c>
      <c r="C31" t="s">
        <v>12</v>
      </c>
      <c r="D31" s="6">
        <v>49.75</v>
      </c>
      <c r="E31">
        <v>431.6</v>
      </c>
      <c r="F31">
        <v>729.69</v>
      </c>
      <c r="G31">
        <v>225.34</v>
      </c>
      <c r="H31">
        <v>15.85</v>
      </c>
      <c r="I31" t="s">
        <v>34</v>
      </c>
      <c r="J31" s="1">
        <v>44958</v>
      </c>
      <c r="K31">
        <v>2023</v>
      </c>
    </row>
    <row r="32" spans="1:11" x14ac:dyDescent="0.25">
      <c r="A32">
        <v>33</v>
      </c>
      <c r="B32" t="s">
        <v>14</v>
      </c>
      <c r="C32" t="s">
        <v>16</v>
      </c>
      <c r="D32" s="6">
        <v>48.27</v>
      </c>
      <c r="E32">
        <v>446.44</v>
      </c>
      <c r="F32">
        <v>270.68</v>
      </c>
      <c r="G32">
        <v>193.66</v>
      </c>
      <c r="H32">
        <v>27.23</v>
      </c>
      <c r="I32" t="s">
        <v>13</v>
      </c>
      <c r="J32" s="1">
        <v>44959</v>
      </c>
      <c r="K32">
        <v>2023</v>
      </c>
    </row>
    <row r="33" spans="1:11" x14ac:dyDescent="0.25">
      <c r="A33">
        <v>34</v>
      </c>
      <c r="B33" t="s">
        <v>17</v>
      </c>
      <c r="C33" t="s">
        <v>20</v>
      </c>
      <c r="D33" s="6">
        <v>43.12</v>
      </c>
      <c r="E33">
        <v>585.66</v>
      </c>
      <c r="F33">
        <v>549.87</v>
      </c>
      <c r="G33">
        <v>158.69999999999999</v>
      </c>
      <c r="H33">
        <v>36.54</v>
      </c>
      <c r="I33" t="s">
        <v>13</v>
      </c>
      <c r="J33" s="1">
        <v>44960</v>
      </c>
      <c r="K33">
        <v>2023</v>
      </c>
    </row>
    <row r="34" spans="1:11" x14ac:dyDescent="0.25">
      <c r="A34">
        <v>35</v>
      </c>
      <c r="B34" t="s">
        <v>17</v>
      </c>
      <c r="C34" t="s">
        <v>16</v>
      </c>
      <c r="D34" s="6">
        <v>74.72</v>
      </c>
      <c r="E34">
        <v>551.5</v>
      </c>
      <c r="F34">
        <v>472.08</v>
      </c>
      <c r="G34">
        <v>161.99</v>
      </c>
      <c r="H34">
        <v>19.64</v>
      </c>
      <c r="I34" t="s">
        <v>22</v>
      </c>
      <c r="J34" s="1">
        <v>44961</v>
      </c>
      <c r="K34">
        <v>2023</v>
      </c>
    </row>
    <row r="35" spans="1:11" x14ac:dyDescent="0.25">
      <c r="A35">
        <v>36</v>
      </c>
      <c r="B35" t="s">
        <v>34</v>
      </c>
      <c r="C35" t="s">
        <v>20</v>
      </c>
      <c r="D35" s="6">
        <v>45.04</v>
      </c>
      <c r="E35">
        <v>571.57000000000005</v>
      </c>
      <c r="F35">
        <v>534.08000000000004</v>
      </c>
      <c r="G35">
        <v>296.62</v>
      </c>
      <c r="H35">
        <v>25.24</v>
      </c>
      <c r="I35" t="s">
        <v>34</v>
      </c>
      <c r="J35" s="1">
        <v>44962</v>
      </c>
      <c r="K35">
        <v>2023</v>
      </c>
    </row>
    <row r="36" spans="1:11" x14ac:dyDescent="0.25">
      <c r="A36">
        <v>37</v>
      </c>
      <c r="B36" t="s">
        <v>21</v>
      </c>
      <c r="C36" t="s">
        <v>12</v>
      </c>
      <c r="D36" s="6">
        <v>60.24</v>
      </c>
      <c r="E36">
        <v>542.14</v>
      </c>
      <c r="F36">
        <v>428.31</v>
      </c>
      <c r="G36">
        <v>222.18</v>
      </c>
      <c r="H36">
        <v>32.200000000000003</v>
      </c>
      <c r="I36" t="s">
        <v>18</v>
      </c>
    </row>
    <row r="37" spans="1:11" x14ac:dyDescent="0.25">
      <c r="A37">
        <v>39</v>
      </c>
      <c r="B37" t="s">
        <v>11</v>
      </c>
      <c r="C37" t="s">
        <v>16</v>
      </c>
      <c r="D37" s="6">
        <v>53.72</v>
      </c>
      <c r="E37">
        <v>569.71</v>
      </c>
      <c r="F37">
        <v>495.54</v>
      </c>
      <c r="G37">
        <v>227.54</v>
      </c>
      <c r="H37">
        <v>27.45</v>
      </c>
      <c r="I37" t="s">
        <v>13</v>
      </c>
      <c r="J37" s="1">
        <v>44965</v>
      </c>
      <c r="K37">
        <v>2023</v>
      </c>
    </row>
    <row r="38" spans="1:11" x14ac:dyDescent="0.25">
      <c r="A38">
        <v>40</v>
      </c>
      <c r="B38" t="s">
        <v>34</v>
      </c>
      <c r="C38" t="s">
        <v>16</v>
      </c>
      <c r="D38" s="6">
        <v>54.79</v>
      </c>
      <c r="E38">
        <v>618.25</v>
      </c>
      <c r="F38">
        <v>443.8</v>
      </c>
      <c r="G38">
        <v>190.27</v>
      </c>
      <c r="H38">
        <v>35.700000000000003</v>
      </c>
      <c r="I38" t="s">
        <v>22</v>
      </c>
      <c r="J38" s="1">
        <v>44966</v>
      </c>
      <c r="K38">
        <v>2023</v>
      </c>
    </row>
    <row r="39" spans="1:11" x14ac:dyDescent="0.25">
      <c r="A39">
        <v>41</v>
      </c>
      <c r="B39" t="s">
        <v>21</v>
      </c>
      <c r="C39" t="s">
        <v>20</v>
      </c>
      <c r="D39" s="6">
        <v>49.76</v>
      </c>
      <c r="E39">
        <v>558.45000000000005</v>
      </c>
      <c r="F39">
        <v>297.54000000000002</v>
      </c>
      <c r="G39">
        <v>200.23</v>
      </c>
      <c r="H39">
        <v>40.22</v>
      </c>
      <c r="I39" t="s">
        <v>18</v>
      </c>
      <c r="J39" s="1">
        <v>44967</v>
      </c>
      <c r="K39">
        <v>2023</v>
      </c>
    </row>
    <row r="40" spans="1:11" x14ac:dyDescent="0.25">
      <c r="A40">
        <v>42</v>
      </c>
      <c r="B40" t="s">
        <v>21</v>
      </c>
      <c r="C40" t="s">
        <v>19</v>
      </c>
      <c r="D40" s="6">
        <v>44.29</v>
      </c>
      <c r="E40">
        <v>544.97</v>
      </c>
      <c r="F40">
        <v>451.93</v>
      </c>
      <c r="G40">
        <v>240.99</v>
      </c>
      <c r="H40">
        <v>31.45</v>
      </c>
      <c r="I40" t="s">
        <v>13</v>
      </c>
      <c r="J40" s="1">
        <v>44968</v>
      </c>
      <c r="K40">
        <v>2023</v>
      </c>
    </row>
    <row r="41" spans="1:11" x14ac:dyDescent="0.25">
      <c r="A41">
        <v>43</v>
      </c>
      <c r="B41" t="s">
        <v>34</v>
      </c>
      <c r="C41" t="s">
        <v>20</v>
      </c>
      <c r="D41" s="6">
        <v>47.37</v>
      </c>
      <c r="E41">
        <v>423.29</v>
      </c>
      <c r="F41">
        <v>310.02999999999997</v>
      </c>
      <c r="G41">
        <v>259.16000000000003</v>
      </c>
      <c r="H41">
        <v>25.37</v>
      </c>
      <c r="I41" t="s">
        <v>13</v>
      </c>
      <c r="J41" s="1">
        <v>44969</v>
      </c>
      <c r="K41">
        <v>2023</v>
      </c>
    </row>
    <row r="42" spans="1:11" x14ac:dyDescent="0.25">
      <c r="A42">
        <v>44</v>
      </c>
      <c r="B42" t="s">
        <v>21</v>
      </c>
      <c r="C42" t="s">
        <v>16</v>
      </c>
      <c r="D42" s="6">
        <v>45.97</v>
      </c>
      <c r="E42">
        <v>521.17999999999995</v>
      </c>
      <c r="F42">
        <v>558.38</v>
      </c>
      <c r="G42">
        <v>157.06</v>
      </c>
      <c r="H42">
        <v>25.2</v>
      </c>
      <c r="I42" t="s">
        <v>22</v>
      </c>
      <c r="J42" s="1">
        <v>44970</v>
      </c>
      <c r="K42">
        <v>2023</v>
      </c>
    </row>
    <row r="43" spans="1:11" x14ac:dyDescent="0.25">
      <c r="A43">
        <v>45</v>
      </c>
      <c r="B43" t="s">
        <v>17</v>
      </c>
      <c r="C43" t="s">
        <v>34</v>
      </c>
      <c r="D43" s="6">
        <v>74.02</v>
      </c>
      <c r="E43">
        <v>417.98</v>
      </c>
      <c r="F43">
        <v>256.13</v>
      </c>
      <c r="G43">
        <v>198.51</v>
      </c>
      <c r="H43">
        <v>30.72</v>
      </c>
      <c r="I43" t="s">
        <v>13</v>
      </c>
      <c r="J43" s="1">
        <v>44971</v>
      </c>
      <c r="K43">
        <v>2023</v>
      </c>
    </row>
    <row r="44" spans="1:11" x14ac:dyDescent="0.25">
      <c r="A44">
        <v>46</v>
      </c>
      <c r="B44" t="s">
        <v>11</v>
      </c>
      <c r="C44" t="s">
        <v>16</v>
      </c>
      <c r="D44" s="6">
        <v>49.77</v>
      </c>
      <c r="E44">
        <v>497.6</v>
      </c>
      <c r="F44">
        <v>603.44000000000005</v>
      </c>
      <c r="G44">
        <v>172.69</v>
      </c>
      <c r="H44">
        <v>31.4</v>
      </c>
      <c r="I44" t="s">
        <v>13</v>
      </c>
      <c r="J44" s="1">
        <v>44972</v>
      </c>
      <c r="K44">
        <v>2023</v>
      </c>
    </row>
    <row r="45" spans="1:11" x14ac:dyDescent="0.25">
      <c r="A45">
        <v>47</v>
      </c>
      <c r="B45" t="s">
        <v>34</v>
      </c>
      <c r="C45" t="s">
        <v>34</v>
      </c>
      <c r="D45" s="6">
        <v>55.25</v>
      </c>
      <c r="E45">
        <v>335.97</v>
      </c>
      <c r="F45">
        <v>531.54999999999995</v>
      </c>
      <c r="G45">
        <v>229.84</v>
      </c>
      <c r="H45">
        <v>39.29</v>
      </c>
      <c r="I45" t="s">
        <v>18</v>
      </c>
      <c r="J45" s="1">
        <v>44973</v>
      </c>
      <c r="K45">
        <v>2023</v>
      </c>
    </row>
    <row r="46" spans="1:11" x14ac:dyDescent="0.25">
      <c r="A46">
        <v>48</v>
      </c>
      <c r="B46" t="s">
        <v>11</v>
      </c>
      <c r="C46" t="s">
        <v>15</v>
      </c>
      <c r="D46" s="6">
        <v>67.819999999999993</v>
      </c>
      <c r="E46">
        <v>336.74</v>
      </c>
      <c r="F46">
        <v>532.01</v>
      </c>
      <c r="G46">
        <v>188.38</v>
      </c>
      <c r="H46">
        <v>34.85</v>
      </c>
      <c r="I46" t="s">
        <v>13</v>
      </c>
      <c r="J46" s="1">
        <v>44974</v>
      </c>
      <c r="K46">
        <v>2023</v>
      </c>
    </row>
    <row r="47" spans="1:11" x14ac:dyDescent="0.25">
      <c r="A47">
        <v>49</v>
      </c>
      <c r="B47" t="s">
        <v>14</v>
      </c>
      <c r="C47" t="s">
        <v>16</v>
      </c>
      <c r="D47" s="6">
        <v>41.24</v>
      </c>
      <c r="E47">
        <v>480.9</v>
      </c>
      <c r="F47">
        <v>220.28</v>
      </c>
      <c r="G47">
        <v>201.46</v>
      </c>
      <c r="H47">
        <v>30.42</v>
      </c>
      <c r="I47" t="s">
        <v>13</v>
      </c>
      <c r="J47" s="1">
        <v>44975</v>
      </c>
      <c r="K47">
        <v>2023</v>
      </c>
    </row>
    <row r="48" spans="1:11" x14ac:dyDescent="0.25">
      <c r="A48">
        <v>50</v>
      </c>
      <c r="B48" t="s">
        <v>17</v>
      </c>
      <c r="C48" t="s">
        <v>15</v>
      </c>
      <c r="D48" s="6">
        <v>50.38</v>
      </c>
      <c r="E48">
        <v>445.16</v>
      </c>
      <c r="F48">
        <v>440.57</v>
      </c>
      <c r="G48">
        <v>186.49</v>
      </c>
      <c r="H48">
        <v>28.32</v>
      </c>
      <c r="I48" t="s">
        <v>22</v>
      </c>
      <c r="J48" s="1">
        <v>44976</v>
      </c>
      <c r="K48">
        <v>2023</v>
      </c>
    </row>
    <row r="49" spans="1:11" x14ac:dyDescent="0.25">
      <c r="A49">
        <v>51</v>
      </c>
      <c r="B49" t="s">
        <v>14</v>
      </c>
      <c r="C49" t="s">
        <v>19</v>
      </c>
      <c r="D49" s="6">
        <v>47.31</v>
      </c>
      <c r="E49">
        <v>510.68</v>
      </c>
      <c r="F49">
        <v>618.42999999999995</v>
      </c>
      <c r="G49">
        <v>194.69</v>
      </c>
      <c r="H49">
        <v>45.07</v>
      </c>
      <c r="I49" t="s">
        <v>13</v>
      </c>
      <c r="J49" s="1">
        <v>44977</v>
      </c>
      <c r="K49">
        <v>2023</v>
      </c>
    </row>
    <row r="50" spans="1:11" x14ac:dyDescent="0.25">
      <c r="A50">
        <v>52</v>
      </c>
      <c r="B50" t="s">
        <v>17</v>
      </c>
      <c r="C50" t="s">
        <v>20</v>
      </c>
      <c r="D50" s="6">
        <v>49.14</v>
      </c>
      <c r="E50">
        <v>486.52</v>
      </c>
      <c r="F50">
        <v>417.77</v>
      </c>
      <c r="G50">
        <v>285.23</v>
      </c>
      <c r="H50">
        <v>33.130000000000003</v>
      </c>
      <c r="I50" t="s">
        <v>34</v>
      </c>
      <c r="J50" s="1">
        <v>44978</v>
      </c>
      <c r="K50">
        <v>2023</v>
      </c>
    </row>
    <row r="51" spans="1:11" x14ac:dyDescent="0.25">
      <c r="A51">
        <v>53</v>
      </c>
      <c r="B51" t="s">
        <v>34</v>
      </c>
      <c r="C51" t="s">
        <v>34</v>
      </c>
      <c r="D51" s="6">
        <v>48.21</v>
      </c>
      <c r="E51">
        <v>503.02</v>
      </c>
      <c r="F51">
        <v>350.63</v>
      </c>
      <c r="G51">
        <v>319.54000000000002</v>
      </c>
      <c r="H51">
        <v>26.66</v>
      </c>
      <c r="I51" t="s">
        <v>22</v>
      </c>
      <c r="J51" s="1">
        <v>44979</v>
      </c>
      <c r="K51">
        <v>2023</v>
      </c>
    </row>
    <row r="52" spans="1:11" x14ac:dyDescent="0.25">
      <c r="A52">
        <v>55</v>
      </c>
      <c r="B52" t="s">
        <v>14</v>
      </c>
      <c r="C52" t="s">
        <v>15</v>
      </c>
      <c r="D52" s="6">
        <v>51.95</v>
      </c>
      <c r="E52">
        <v>453.67</v>
      </c>
      <c r="F52">
        <v>471.81</v>
      </c>
      <c r="G52">
        <v>195</v>
      </c>
      <c r="H52">
        <v>25.61</v>
      </c>
      <c r="I52" t="s">
        <v>13</v>
      </c>
      <c r="J52" s="1">
        <v>44981</v>
      </c>
      <c r="K52">
        <v>2023</v>
      </c>
    </row>
    <row r="53" spans="1:11" x14ac:dyDescent="0.25">
      <c r="A53">
        <v>56</v>
      </c>
      <c r="B53" t="s">
        <v>34</v>
      </c>
      <c r="C53" t="s">
        <v>34</v>
      </c>
      <c r="D53" s="6">
        <v>39.369999999999997</v>
      </c>
      <c r="E53">
        <v>478.06</v>
      </c>
      <c r="F53">
        <v>377.84</v>
      </c>
      <c r="G53">
        <v>120.22</v>
      </c>
      <c r="H53">
        <v>17.98</v>
      </c>
      <c r="I53" t="s">
        <v>18</v>
      </c>
      <c r="J53" s="1">
        <v>44982</v>
      </c>
      <c r="K53">
        <v>2023</v>
      </c>
    </row>
    <row r="54" spans="1:11" x14ac:dyDescent="0.25">
      <c r="A54">
        <v>57</v>
      </c>
      <c r="B54" t="s">
        <v>21</v>
      </c>
      <c r="C54" t="s">
        <v>20</v>
      </c>
      <c r="D54" s="6">
        <v>59.89</v>
      </c>
      <c r="E54">
        <v>645.5</v>
      </c>
      <c r="F54">
        <v>628.05999999999995</v>
      </c>
      <c r="G54">
        <v>161.97999999999999</v>
      </c>
      <c r="H54">
        <v>31.56</v>
      </c>
      <c r="I54" t="s">
        <v>22</v>
      </c>
      <c r="J54" s="1">
        <v>44983</v>
      </c>
      <c r="K54">
        <v>2023</v>
      </c>
    </row>
    <row r="55" spans="1:11" x14ac:dyDescent="0.25">
      <c r="A55">
        <v>59</v>
      </c>
      <c r="B55" t="s">
        <v>14</v>
      </c>
      <c r="C55" t="s">
        <v>12</v>
      </c>
      <c r="D55" s="6">
        <v>45.07</v>
      </c>
      <c r="E55">
        <v>482.08</v>
      </c>
      <c r="F55">
        <v>413.33</v>
      </c>
      <c r="G55">
        <v>164.25</v>
      </c>
      <c r="H55">
        <v>21.85</v>
      </c>
      <c r="I55" t="s">
        <v>18</v>
      </c>
      <c r="J55" s="1">
        <v>44985</v>
      </c>
      <c r="K55">
        <v>2023</v>
      </c>
    </row>
    <row r="56" spans="1:11" x14ac:dyDescent="0.25">
      <c r="A56">
        <v>60</v>
      </c>
      <c r="B56" t="s">
        <v>11</v>
      </c>
      <c r="C56" t="s">
        <v>15</v>
      </c>
      <c r="D56" s="6">
        <v>45.55</v>
      </c>
      <c r="E56">
        <v>508.25</v>
      </c>
      <c r="F56">
        <v>323.83999999999997</v>
      </c>
      <c r="G56">
        <v>169.5</v>
      </c>
      <c r="H56">
        <v>30.28</v>
      </c>
      <c r="I56" t="s">
        <v>18</v>
      </c>
      <c r="J56" s="1">
        <v>44986</v>
      </c>
      <c r="K56">
        <v>2023</v>
      </c>
    </row>
    <row r="57" spans="1:11" x14ac:dyDescent="0.25">
      <c r="A57">
        <v>61</v>
      </c>
      <c r="B57" t="s">
        <v>21</v>
      </c>
      <c r="C57" t="s">
        <v>20</v>
      </c>
      <c r="D57" s="6">
        <v>52.76</v>
      </c>
      <c r="E57">
        <v>483.86</v>
      </c>
      <c r="F57">
        <v>538.13</v>
      </c>
      <c r="G57">
        <v>278.77</v>
      </c>
      <c r="H57">
        <v>26.47</v>
      </c>
      <c r="I57" t="s">
        <v>18</v>
      </c>
      <c r="J57" s="1">
        <v>44987</v>
      </c>
      <c r="K57">
        <v>2023</v>
      </c>
    </row>
    <row r="58" spans="1:11" x14ac:dyDescent="0.25">
      <c r="A58">
        <v>62</v>
      </c>
      <c r="B58" t="s">
        <v>21</v>
      </c>
      <c r="C58" t="s">
        <v>15</v>
      </c>
      <c r="D58" s="6">
        <v>42.01</v>
      </c>
      <c r="E58">
        <v>429.04</v>
      </c>
      <c r="F58">
        <v>535.4</v>
      </c>
      <c r="G58">
        <v>201.44</v>
      </c>
      <c r="H58">
        <v>32.61</v>
      </c>
      <c r="I58" t="s">
        <v>22</v>
      </c>
      <c r="J58" s="1">
        <v>44988</v>
      </c>
      <c r="K58">
        <v>2023</v>
      </c>
    </row>
    <row r="59" spans="1:11" x14ac:dyDescent="0.25">
      <c r="A59">
        <v>63</v>
      </c>
      <c r="B59" t="s">
        <v>21</v>
      </c>
      <c r="C59" t="s">
        <v>15</v>
      </c>
      <c r="D59" s="6">
        <v>68.12</v>
      </c>
      <c r="E59">
        <v>400.2</v>
      </c>
      <c r="F59">
        <v>384.93</v>
      </c>
      <c r="G59">
        <v>205.91</v>
      </c>
      <c r="H59">
        <v>29.14</v>
      </c>
      <c r="I59" t="s">
        <v>18</v>
      </c>
      <c r="J59" s="1">
        <v>44989</v>
      </c>
      <c r="K59">
        <v>2023</v>
      </c>
    </row>
    <row r="60" spans="1:11" x14ac:dyDescent="0.25">
      <c r="A60">
        <v>64</v>
      </c>
      <c r="B60" t="s">
        <v>14</v>
      </c>
      <c r="C60" t="s">
        <v>34</v>
      </c>
      <c r="D60" s="6">
        <v>136.79</v>
      </c>
      <c r="E60">
        <v>423.66</v>
      </c>
      <c r="F60">
        <v>211.64</v>
      </c>
      <c r="G60">
        <v>166.29</v>
      </c>
      <c r="H60">
        <v>23.2</v>
      </c>
      <c r="I60" t="s">
        <v>13</v>
      </c>
      <c r="J60" s="1">
        <v>44990</v>
      </c>
      <c r="K60">
        <v>2023</v>
      </c>
    </row>
    <row r="61" spans="1:11" x14ac:dyDescent="0.25">
      <c r="A61">
        <v>65</v>
      </c>
      <c r="B61" t="s">
        <v>21</v>
      </c>
      <c r="C61" t="s">
        <v>34</v>
      </c>
      <c r="D61" s="6">
        <v>53.93</v>
      </c>
      <c r="E61">
        <v>587.29</v>
      </c>
      <c r="F61">
        <v>529.29</v>
      </c>
      <c r="G61">
        <v>258.88</v>
      </c>
      <c r="H61">
        <v>25.09</v>
      </c>
      <c r="I61" t="s">
        <v>18</v>
      </c>
      <c r="J61" s="1">
        <v>44991</v>
      </c>
      <c r="K61">
        <v>2023</v>
      </c>
    </row>
    <row r="62" spans="1:11" x14ac:dyDescent="0.25">
      <c r="A62">
        <v>66</v>
      </c>
      <c r="B62" t="s">
        <v>14</v>
      </c>
      <c r="C62" t="s">
        <v>12</v>
      </c>
      <c r="D62" s="6">
        <v>284.07</v>
      </c>
      <c r="E62">
        <v>1748.04</v>
      </c>
      <c r="F62">
        <v>457.58</v>
      </c>
      <c r="G62">
        <v>189.37</v>
      </c>
      <c r="H62">
        <v>25.85</v>
      </c>
      <c r="I62" t="s">
        <v>34</v>
      </c>
      <c r="J62" s="1">
        <v>44992</v>
      </c>
      <c r="K62">
        <v>2023</v>
      </c>
    </row>
    <row r="63" spans="1:11" x14ac:dyDescent="0.25">
      <c r="A63">
        <v>67</v>
      </c>
      <c r="B63" t="s">
        <v>21</v>
      </c>
      <c r="C63" t="s">
        <v>16</v>
      </c>
      <c r="D63" s="6">
        <v>44.21</v>
      </c>
      <c r="E63">
        <v>484.51</v>
      </c>
      <c r="F63">
        <v>520.33000000000004</v>
      </c>
      <c r="G63">
        <v>173.96</v>
      </c>
      <c r="H63">
        <v>36.72</v>
      </c>
      <c r="I63" t="s">
        <v>13</v>
      </c>
      <c r="J63" s="1">
        <v>44993</v>
      </c>
      <c r="K63">
        <v>2023</v>
      </c>
    </row>
    <row r="64" spans="1:11" x14ac:dyDescent="0.25">
      <c r="A64">
        <v>68</v>
      </c>
      <c r="B64" t="s">
        <v>11</v>
      </c>
      <c r="C64" t="s">
        <v>15</v>
      </c>
      <c r="D64" s="6">
        <v>60.89</v>
      </c>
      <c r="E64">
        <v>570.07000000000005</v>
      </c>
      <c r="F64">
        <v>714.86</v>
      </c>
      <c r="G64">
        <v>120.96</v>
      </c>
      <c r="H64">
        <v>36.47</v>
      </c>
      <c r="I64" t="s">
        <v>34</v>
      </c>
      <c r="J64" s="1">
        <v>44994</v>
      </c>
      <c r="K64">
        <v>2023</v>
      </c>
    </row>
    <row r="65" spans="1:11" x14ac:dyDescent="0.25">
      <c r="A65">
        <v>69</v>
      </c>
      <c r="B65" t="s">
        <v>11</v>
      </c>
      <c r="C65" t="s">
        <v>20</v>
      </c>
      <c r="D65" s="6">
        <v>51.15</v>
      </c>
      <c r="E65">
        <v>472.16</v>
      </c>
      <c r="F65">
        <v>476.78</v>
      </c>
      <c r="G65">
        <v>196.94</v>
      </c>
      <c r="H65">
        <v>28.44</v>
      </c>
      <c r="I65" t="s">
        <v>22</v>
      </c>
      <c r="J65" s="1">
        <v>44995</v>
      </c>
      <c r="K65">
        <v>2023</v>
      </c>
    </row>
    <row r="66" spans="1:11" x14ac:dyDescent="0.25">
      <c r="A66">
        <v>70</v>
      </c>
      <c r="B66" t="s">
        <v>34</v>
      </c>
      <c r="C66" t="s">
        <v>19</v>
      </c>
      <c r="D66" s="6">
        <v>59.5</v>
      </c>
      <c r="E66">
        <v>563.34</v>
      </c>
      <c r="F66">
        <v>418.34</v>
      </c>
      <c r="G66">
        <v>172.4</v>
      </c>
      <c r="H66">
        <v>36.14</v>
      </c>
      <c r="I66" t="s">
        <v>18</v>
      </c>
      <c r="J66" s="1">
        <v>44996</v>
      </c>
      <c r="K66">
        <v>2023</v>
      </c>
    </row>
    <row r="67" spans="1:11" x14ac:dyDescent="0.25">
      <c r="A67">
        <v>71</v>
      </c>
      <c r="B67" t="s">
        <v>11</v>
      </c>
      <c r="C67" t="s">
        <v>15</v>
      </c>
      <c r="D67" s="6">
        <v>48.02</v>
      </c>
      <c r="E67">
        <v>345.92</v>
      </c>
      <c r="F67">
        <v>342.32</v>
      </c>
      <c r="G67">
        <v>284.23</v>
      </c>
      <c r="H67">
        <v>29.13</v>
      </c>
      <c r="I67" t="s">
        <v>18</v>
      </c>
      <c r="J67" s="1">
        <v>44997</v>
      </c>
      <c r="K67">
        <v>2023</v>
      </c>
    </row>
    <row r="68" spans="1:11" x14ac:dyDescent="0.25">
      <c r="A68">
        <v>72</v>
      </c>
      <c r="B68" t="s">
        <v>34</v>
      </c>
      <c r="C68" t="s">
        <v>15</v>
      </c>
      <c r="D68" s="6">
        <v>63.17</v>
      </c>
      <c r="E68">
        <v>486.75</v>
      </c>
      <c r="F68">
        <v>442.51</v>
      </c>
      <c r="G68">
        <v>292.19</v>
      </c>
      <c r="H68">
        <v>28.37</v>
      </c>
      <c r="I68" t="s">
        <v>13</v>
      </c>
      <c r="J68" s="1">
        <v>44998</v>
      </c>
      <c r="K68">
        <v>2023</v>
      </c>
    </row>
    <row r="69" spans="1:11" x14ac:dyDescent="0.25">
      <c r="A69">
        <v>73</v>
      </c>
      <c r="B69" t="s">
        <v>11</v>
      </c>
      <c r="C69" t="s">
        <v>12</v>
      </c>
      <c r="D69" s="6">
        <v>54.01</v>
      </c>
      <c r="E69">
        <v>507.89</v>
      </c>
      <c r="F69">
        <v>499.27</v>
      </c>
      <c r="G69">
        <v>138.24</v>
      </c>
      <c r="H69">
        <v>30.29</v>
      </c>
      <c r="I69" t="s">
        <v>18</v>
      </c>
      <c r="J69" s="1">
        <v>44999</v>
      </c>
      <c r="K69">
        <v>2023</v>
      </c>
    </row>
    <row r="70" spans="1:11" x14ac:dyDescent="0.25">
      <c r="A70">
        <v>75</v>
      </c>
      <c r="B70" t="s">
        <v>34</v>
      </c>
      <c r="C70" t="s">
        <v>19</v>
      </c>
      <c r="D70" s="6">
        <v>46.3</v>
      </c>
      <c r="E70">
        <v>334.71</v>
      </c>
      <c r="F70">
        <v>686.82</v>
      </c>
      <c r="G70">
        <v>186.18</v>
      </c>
      <c r="H70">
        <v>27.22</v>
      </c>
      <c r="I70" t="s">
        <v>22</v>
      </c>
      <c r="J70" s="1">
        <v>45001</v>
      </c>
      <c r="K70">
        <v>2023</v>
      </c>
    </row>
    <row r="71" spans="1:11" x14ac:dyDescent="0.25">
      <c r="A71">
        <v>76</v>
      </c>
      <c r="B71" t="s">
        <v>17</v>
      </c>
      <c r="C71" t="s">
        <v>34</v>
      </c>
      <c r="D71" s="6">
        <v>52.05</v>
      </c>
      <c r="E71">
        <v>620.30999999999995</v>
      </c>
      <c r="F71">
        <v>539.89</v>
      </c>
      <c r="G71">
        <v>159.19999999999999</v>
      </c>
      <c r="H71">
        <v>30.11</v>
      </c>
      <c r="I71" t="s">
        <v>13</v>
      </c>
    </row>
    <row r="72" spans="1:11" x14ac:dyDescent="0.25">
      <c r="A72">
        <v>77</v>
      </c>
      <c r="B72" t="s">
        <v>21</v>
      </c>
      <c r="C72" t="s">
        <v>34</v>
      </c>
      <c r="D72" s="6">
        <v>39.68</v>
      </c>
      <c r="E72">
        <v>414.53</v>
      </c>
      <c r="F72">
        <v>463.82</v>
      </c>
      <c r="G72">
        <v>210.87</v>
      </c>
      <c r="H72">
        <v>33.94</v>
      </c>
      <c r="I72" t="s">
        <v>18</v>
      </c>
      <c r="J72" s="1">
        <v>45003</v>
      </c>
      <c r="K72">
        <v>2023</v>
      </c>
    </row>
    <row r="73" spans="1:11" x14ac:dyDescent="0.25">
      <c r="A73">
        <v>78</v>
      </c>
      <c r="B73" t="s">
        <v>14</v>
      </c>
      <c r="C73" t="s">
        <v>20</v>
      </c>
      <c r="D73" s="6">
        <v>44.71</v>
      </c>
      <c r="E73">
        <v>533.5</v>
      </c>
      <c r="F73">
        <v>395.21</v>
      </c>
      <c r="G73">
        <v>183.67</v>
      </c>
      <c r="H73">
        <v>30.65</v>
      </c>
      <c r="I73" t="s">
        <v>13</v>
      </c>
      <c r="J73" s="1">
        <v>45004</v>
      </c>
      <c r="K73">
        <v>2023</v>
      </c>
    </row>
    <row r="74" spans="1:11" x14ac:dyDescent="0.25">
      <c r="A74">
        <v>79</v>
      </c>
      <c r="B74" t="s">
        <v>11</v>
      </c>
      <c r="C74" t="s">
        <v>19</v>
      </c>
      <c r="D74" s="6">
        <v>56.19</v>
      </c>
      <c r="E74">
        <v>500.8</v>
      </c>
      <c r="F74">
        <v>512</v>
      </c>
      <c r="G74">
        <v>214.03</v>
      </c>
      <c r="H74">
        <v>30.21</v>
      </c>
      <c r="I74" t="s">
        <v>18</v>
      </c>
      <c r="J74" s="1">
        <v>45005</v>
      </c>
      <c r="K74">
        <v>2023</v>
      </c>
    </row>
    <row r="75" spans="1:11" x14ac:dyDescent="0.25">
      <c r="A75">
        <v>81</v>
      </c>
      <c r="B75" t="s">
        <v>11</v>
      </c>
      <c r="C75" t="s">
        <v>20</v>
      </c>
      <c r="D75" s="6">
        <v>79.650000000000006</v>
      </c>
      <c r="E75">
        <v>718.75</v>
      </c>
      <c r="F75">
        <v>501.58</v>
      </c>
      <c r="G75">
        <v>146.79</v>
      </c>
      <c r="H75">
        <v>33.33</v>
      </c>
      <c r="I75" t="s">
        <v>34</v>
      </c>
      <c r="J75" s="1">
        <v>45007</v>
      </c>
      <c r="K75">
        <v>2023</v>
      </c>
    </row>
    <row r="76" spans="1:11" x14ac:dyDescent="0.25">
      <c r="A76">
        <v>82</v>
      </c>
      <c r="B76" t="s">
        <v>21</v>
      </c>
      <c r="C76" t="s">
        <v>16</v>
      </c>
      <c r="D76" s="6">
        <v>49.03</v>
      </c>
      <c r="E76">
        <v>370.96</v>
      </c>
      <c r="F76">
        <v>538.49</v>
      </c>
      <c r="G76">
        <v>249.76</v>
      </c>
      <c r="H76">
        <v>29.69</v>
      </c>
      <c r="I76" t="s">
        <v>22</v>
      </c>
      <c r="J76" s="1">
        <v>45008</v>
      </c>
      <c r="K76">
        <v>2023</v>
      </c>
    </row>
    <row r="77" spans="1:11" x14ac:dyDescent="0.25">
      <c r="A77">
        <v>83</v>
      </c>
      <c r="B77" t="s">
        <v>21</v>
      </c>
      <c r="C77" t="s">
        <v>20</v>
      </c>
      <c r="D77" s="6">
        <v>203.34</v>
      </c>
      <c r="E77">
        <v>1740.43</v>
      </c>
      <c r="F77">
        <v>454.03</v>
      </c>
      <c r="G77">
        <v>163.57</v>
      </c>
      <c r="H77">
        <v>27.63</v>
      </c>
      <c r="I77" t="s">
        <v>13</v>
      </c>
      <c r="J77" s="1">
        <v>45009</v>
      </c>
      <c r="K77">
        <v>2023</v>
      </c>
    </row>
    <row r="78" spans="1:11" x14ac:dyDescent="0.25">
      <c r="A78">
        <v>85</v>
      </c>
      <c r="B78" t="s">
        <v>21</v>
      </c>
      <c r="C78" t="s">
        <v>12</v>
      </c>
      <c r="D78" s="6">
        <v>38.72</v>
      </c>
      <c r="E78">
        <v>389.46</v>
      </c>
      <c r="F78">
        <v>217.76</v>
      </c>
      <c r="G78">
        <v>281.05</v>
      </c>
      <c r="H78">
        <v>22.03</v>
      </c>
      <c r="I78" t="s">
        <v>13</v>
      </c>
      <c r="J78" s="1">
        <v>45011</v>
      </c>
      <c r="K78">
        <v>2023</v>
      </c>
    </row>
    <row r="79" spans="1:11" x14ac:dyDescent="0.25">
      <c r="A79">
        <v>86</v>
      </c>
      <c r="B79" t="s">
        <v>21</v>
      </c>
      <c r="C79" t="s">
        <v>12</v>
      </c>
      <c r="D79" s="6">
        <v>55.64</v>
      </c>
      <c r="E79">
        <v>578.22</v>
      </c>
      <c r="F79">
        <v>617.26</v>
      </c>
      <c r="G79">
        <v>194.35</v>
      </c>
      <c r="H79">
        <v>28.95</v>
      </c>
      <c r="I79" t="s">
        <v>34</v>
      </c>
      <c r="J79" s="1">
        <v>45012</v>
      </c>
      <c r="K79">
        <v>2023</v>
      </c>
    </row>
    <row r="80" spans="1:11" x14ac:dyDescent="0.25">
      <c r="A80">
        <v>87</v>
      </c>
      <c r="B80" t="s">
        <v>11</v>
      </c>
      <c r="C80" t="s">
        <v>12</v>
      </c>
      <c r="D80" s="6">
        <v>44.98</v>
      </c>
      <c r="E80">
        <v>584.34</v>
      </c>
      <c r="F80">
        <v>528.4</v>
      </c>
      <c r="G80">
        <v>151.82</v>
      </c>
      <c r="H80">
        <v>17.64</v>
      </c>
      <c r="I80" t="s">
        <v>22</v>
      </c>
      <c r="J80" s="1">
        <v>45013</v>
      </c>
      <c r="K80">
        <v>2023</v>
      </c>
    </row>
    <row r="81" spans="1:11" x14ac:dyDescent="0.25">
      <c r="A81">
        <v>88</v>
      </c>
      <c r="B81" t="s">
        <v>21</v>
      </c>
      <c r="C81" t="s">
        <v>34</v>
      </c>
      <c r="D81" s="6">
        <v>52.12</v>
      </c>
      <c r="E81">
        <v>555.94000000000005</v>
      </c>
      <c r="F81">
        <v>531.30999999999995</v>
      </c>
      <c r="G81">
        <v>142.26</v>
      </c>
      <c r="H81">
        <v>21.62</v>
      </c>
      <c r="I81" t="s">
        <v>13</v>
      </c>
      <c r="J81" s="1">
        <v>45014</v>
      </c>
      <c r="K81">
        <v>2023</v>
      </c>
    </row>
    <row r="82" spans="1:11" x14ac:dyDescent="0.25">
      <c r="A82">
        <v>89</v>
      </c>
      <c r="B82" t="s">
        <v>14</v>
      </c>
      <c r="C82" t="s">
        <v>12</v>
      </c>
      <c r="D82" s="6">
        <v>60.91</v>
      </c>
      <c r="E82">
        <v>523.66</v>
      </c>
      <c r="F82">
        <v>292.64</v>
      </c>
      <c r="G82">
        <v>243.68</v>
      </c>
      <c r="H82">
        <v>20.87</v>
      </c>
      <c r="I82" t="s">
        <v>13</v>
      </c>
      <c r="J82" s="1">
        <v>45015</v>
      </c>
      <c r="K82">
        <v>2023</v>
      </c>
    </row>
    <row r="83" spans="1:11" x14ac:dyDescent="0.25">
      <c r="A83">
        <v>90</v>
      </c>
      <c r="B83" t="s">
        <v>34</v>
      </c>
      <c r="C83" t="s">
        <v>19</v>
      </c>
      <c r="D83" s="6">
        <v>48.89</v>
      </c>
      <c r="E83">
        <v>636.97</v>
      </c>
      <c r="F83">
        <v>645.58000000000004</v>
      </c>
      <c r="G83">
        <v>198.48</v>
      </c>
      <c r="H83">
        <v>35.24</v>
      </c>
      <c r="I83" t="s">
        <v>34</v>
      </c>
      <c r="J83" s="1">
        <v>45016</v>
      </c>
      <c r="K83">
        <v>2023</v>
      </c>
    </row>
    <row r="84" spans="1:11" x14ac:dyDescent="0.25">
      <c r="A84">
        <v>91</v>
      </c>
      <c r="B84" t="s">
        <v>21</v>
      </c>
      <c r="C84" t="s">
        <v>16</v>
      </c>
      <c r="D84" s="6">
        <v>59.33</v>
      </c>
      <c r="E84">
        <v>384.44</v>
      </c>
      <c r="F84">
        <v>424.17</v>
      </c>
      <c r="G84">
        <v>246.34</v>
      </c>
      <c r="H84">
        <v>30.07</v>
      </c>
      <c r="I84" t="s">
        <v>18</v>
      </c>
      <c r="J84" s="1">
        <v>45017</v>
      </c>
      <c r="K84">
        <v>2023</v>
      </c>
    </row>
    <row r="85" spans="1:11" x14ac:dyDescent="0.25">
      <c r="A85">
        <v>92</v>
      </c>
      <c r="B85" t="s">
        <v>21</v>
      </c>
      <c r="C85" t="s">
        <v>20</v>
      </c>
      <c r="D85" s="6">
        <v>58.73</v>
      </c>
      <c r="E85">
        <v>506.53</v>
      </c>
      <c r="F85">
        <v>445.34</v>
      </c>
      <c r="G85">
        <v>310.20999999999998</v>
      </c>
      <c r="H85">
        <v>23.69</v>
      </c>
      <c r="I85" t="s">
        <v>13</v>
      </c>
      <c r="J85" s="1">
        <v>45018</v>
      </c>
      <c r="K85">
        <v>2023</v>
      </c>
    </row>
    <row r="86" spans="1:11" x14ac:dyDescent="0.25">
      <c r="A86">
        <v>93</v>
      </c>
      <c r="B86" t="s">
        <v>11</v>
      </c>
      <c r="C86" t="s">
        <v>20</v>
      </c>
      <c r="D86" s="6">
        <v>31.36</v>
      </c>
      <c r="E86">
        <v>426.12</v>
      </c>
      <c r="F86">
        <v>351.69</v>
      </c>
      <c r="G86">
        <v>161.47999999999999</v>
      </c>
      <c r="H86">
        <v>32.46</v>
      </c>
      <c r="I86" t="s">
        <v>34</v>
      </c>
      <c r="J86" s="1">
        <v>45019</v>
      </c>
      <c r="K86">
        <v>2023</v>
      </c>
    </row>
    <row r="87" spans="1:11" x14ac:dyDescent="0.25">
      <c r="A87">
        <v>94</v>
      </c>
      <c r="B87" t="s">
        <v>21</v>
      </c>
      <c r="C87" t="s">
        <v>34</v>
      </c>
      <c r="D87" s="6">
        <v>40.98</v>
      </c>
      <c r="E87">
        <v>588.99</v>
      </c>
      <c r="F87">
        <v>265.57</v>
      </c>
      <c r="G87">
        <v>138.49</v>
      </c>
      <c r="H87">
        <v>34.94</v>
      </c>
      <c r="I87" t="s">
        <v>18</v>
      </c>
      <c r="J87" s="1">
        <v>45020</v>
      </c>
      <c r="K87">
        <v>2023</v>
      </c>
    </row>
    <row r="88" spans="1:11" x14ac:dyDescent="0.25">
      <c r="A88">
        <v>96</v>
      </c>
      <c r="B88" t="s">
        <v>21</v>
      </c>
      <c r="C88" t="s">
        <v>12</v>
      </c>
      <c r="D88" s="6">
        <v>70.02</v>
      </c>
      <c r="E88">
        <v>497.19</v>
      </c>
      <c r="F88">
        <v>634.39</v>
      </c>
      <c r="G88">
        <v>257.24</v>
      </c>
      <c r="H88">
        <v>29.06</v>
      </c>
      <c r="I88" t="s">
        <v>22</v>
      </c>
      <c r="J88" s="1">
        <v>45022</v>
      </c>
      <c r="K88">
        <v>2023</v>
      </c>
    </row>
    <row r="89" spans="1:11" x14ac:dyDescent="0.25">
      <c r="A89">
        <v>97</v>
      </c>
      <c r="B89" t="s">
        <v>11</v>
      </c>
      <c r="C89" t="s">
        <v>15</v>
      </c>
      <c r="D89" s="6">
        <v>48.95</v>
      </c>
      <c r="E89">
        <v>533.52</v>
      </c>
      <c r="F89">
        <v>460.14</v>
      </c>
      <c r="G89">
        <v>152.97999999999999</v>
      </c>
      <c r="H89">
        <v>31.16</v>
      </c>
      <c r="I89" t="s">
        <v>34</v>
      </c>
      <c r="J89" s="1">
        <v>45023</v>
      </c>
      <c r="K89">
        <v>2023</v>
      </c>
    </row>
    <row r="90" spans="1:11" x14ac:dyDescent="0.25">
      <c r="A90">
        <v>98</v>
      </c>
      <c r="B90" t="s">
        <v>21</v>
      </c>
      <c r="C90" t="s">
        <v>16</v>
      </c>
      <c r="D90" s="6">
        <v>67.81</v>
      </c>
      <c r="E90">
        <v>405.25</v>
      </c>
      <c r="F90">
        <v>398.47</v>
      </c>
      <c r="G90">
        <v>201.73</v>
      </c>
      <c r="H90">
        <v>34.51</v>
      </c>
      <c r="I90" t="s">
        <v>18</v>
      </c>
      <c r="J90" s="1">
        <v>45024</v>
      </c>
      <c r="K90">
        <v>2023</v>
      </c>
    </row>
    <row r="91" spans="1:11" x14ac:dyDescent="0.25">
      <c r="A91">
        <v>99</v>
      </c>
      <c r="B91" t="s">
        <v>34</v>
      </c>
      <c r="C91" t="s">
        <v>19</v>
      </c>
      <c r="D91" s="6">
        <v>33.67</v>
      </c>
      <c r="E91">
        <v>437.38</v>
      </c>
      <c r="F91">
        <v>434.75</v>
      </c>
      <c r="G91">
        <v>268.5</v>
      </c>
      <c r="H91">
        <v>27.65</v>
      </c>
      <c r="I91" t="s">
        <v>22</v>
      </c>
      <c r="J91" s="1">
        <v>45025</v>
      </c>
      <c r="K91">
        <v>2023</v>
      </c>
    </row>
    <row r="92" spans="1:11" x14ac:dyDescent="0.25">
      <c r="A92">
        <v>100</v>
      </c>
      <c r="B92" t="s">
        <v>34</v>
      </c>
      <c r="C92" t="s">
        <v>20</v>
      </c>
      <c r="D92" s="6">
        <v>44.27</v>
      </c>
      <c r="E92">
        <v>501.54</v>
      </c>
      <c r="F92">
        <v>438.05</v>
      </c>
      <c r="G92">
        <v>118.36</v>
      </c>
      <c r="H92">
        <v>30.15</v>
      </c>
      <c r="I92" t="s">
        <v>13</v>
      </c>
      <c r="J92" s="1">
        <v>45026</v>
      </c>
      <c r="K92">
        <v>2023</v>
      </c>
    </row>
    <row r="93" spans="1:11" x14ac:dyDescent="0.25">
      <c r="A93">
        <v>101</v>
      </c>
      <c r="B93" t="s">
        <v>21</v>
      </c>
      <c r="C93" t="s">
        <v>15</v>
      </c>
      <c r="D93" s="6">
        <v>58</v>
      </c>
      <c r="E93">
        <v>595.51</v>
      </c>
      <c r="F93">
        <v>336.02</v>
      </c>
      <c r="G93">
        <v>211.77</v>
      </c>
      <c r="H93">
        <v>28.71</v>
      </c>
      <c r="I93" t="s">
        <v>34</v>
      </c>
      <c r="J93" s="1">
        <v>45027</v>
      </c>
      <c r="K93">
        <v>2023</v>
      </c>
    </row>
    <row r="94" spans="1:11" x14ac:dyDescent="0.25">
      <c r="A94">
        <v>102</v>
      </c>
      <c r="B94" t="s">
        <v>34</v>
      </c>
      <c r="C94" t="s">
        <v>15</v>
      </c>
      <c r="D94" s="6">
        <v>51.79</v>
      </c>
      <c r="E94">
        <v>396.71</v>
      </c>
      <c r="F94">
        <v>444.93</v>
      </c>
      <c r="G94">
        <v>172.99</v>
      </c>
      <c r="H94">
        <v>21.93</v>
      </c>
      <c r="I94" t="s">
        <v>13</v>
      </c>
      <c r="J94" s="1">
        <v>45028</v>
      </c>
      <c r="K94">
        <v>2023</v>
      </c>
    </row>
    <row r="95" spans="1:11" x14ac:dyDescent="0.25">
      <c r="A95">
        <v>103</v>
      </c>
      <c r="B95" t="s">
        <v>11</v>
      </c>
      <c r="C95" t="s">
        <v>34</v>
      </c>
      <c r="D95" s="6">
        <v>55.33</v>
      </c>
      <c r="E95">
        <v>414.16</v>
      </c>
      <c r="F95">
        <v>498.37</v>
      </c>
      <c r="G95">
        <v>206.21</v>
      </c>
      <c r="H95">
        <v>34.58</v>
      </c>
      <c r="I95" t="s">
        <v>18</v>
      </c>
      <c r="J95" s="1">
        <v>45029</v>
      </c>
      <c r="K95">
        <v>2023</v>
      </c>
    </row>
    <row r="96" spans="1:11" x14ac:dyDescent="0.25">
      <c r="A96">
        <v>104</v>
      </c>
      <c r="B96" t="s">
        <v>14</v>
      </c>
      <c r="C96" t="s">
        <v>20</v>
      </c>
      <c r="D96" s="6">
        <v>37.46</v>
      </c>
      <c r="E96">
        <v>612.55999999999995</v>
      </c>
      <c r="F96">
        <v>602.17999999999995</v>
      </c>
      <c r="G96">
        <v>235.49</v>
      </c>
      <c r="H96">
        <v>40.29</v>
      </c>
      <c r="I96" t="s">
        <v>34</v>
      </c>
      <c r="J96" s="1">
        <v>45030</v>
      </c>
      <c r="K96">
        <v>2023</v>
      </c>
    </row>
    <row r="97" spans="1:11" x14ac:dyDescent="0.25">
      <c r="A97">
        <v>105</v>
      </c>
      <c r="B97" t="s">
        <v>21</v>
      </c>
      <c r="C97" t="s">
        <v>34</v>
      </c>
      <c r="D97" s="6">
        <v>63.77</v>
      </c>
      <c r="E97">
        <v>472.7</v>
      </c>
      <c r="F97">
        <v>481.71</v>
      </c>
      <c r="G97">
        <v>211.04</v>
      </c>
      <c r="H97">
        <v>25.63</v>
      </c>
      <c r="I97" t="s">
        <v>22</v>
      </c>
      <c r="J97" s="1">
        <v>45031</v>
      </c>
      <c r="K97">
        <v>2023</v>
      </c>
    </row>
    <row r="98" spans="1:11" x14ac:dyDescent="0.25">
      <c r="A98">
        <v>106</v>
      </c>
      <c r="B98" t="s">
        <v>14</v>
      </c>
      <c r="C98" t="s">
        <v>19</v>
      </c>
      <c r="D98" s="6">
        <v>57.77</v>
      </c>
      <c r="E98">
        <v>422.25</v>
      </c>
      <c r="F98">
        <v>290.83999999999997</v>
      </c>
      <c r="G98">
        <v>149.49</v>
      </c>
      <c r="H98">
        <v>34.81</v>
      </c>
      <c r="I98" t="s">
        <v>18</v>
      </c>
      <c r="J98" s="1">
        <v>45032</v>
      </c>
      <c r="K98">
        <v>2023</v>
      </c>
    </row>
    <row r="99" spans="1:11" x14ac:dyDescent="0.25">
      <c r="A99">
        <v>107</v>
      </c>
      <c r="B99" t="s">
        <v>14</v>
      </c>
      <c r="C99" t="s">
        <v>15</v>
      </c>
      <c r="D99" s="6">
        <v>54.02</v>
      </c>
      <c r="E99">
        <v>572.87</v>
      </c>
      <c r="F99">
        <v>522.42999999999995</v>
      </c>
      <c r="G99">
        <v>174.94</v>
      </c>
      <c r="H99">
        <v>25.79</v>
      </c>
      <c r="I99" t="s">
        <v>34</v>
      </c>
      <c r="J99" s="1">
        <v>45033</v>
      </c>
      <c r="K99">
        <v>2023</v>
      </c>
    </row>
    <row r="100" spans="1:11" x14ac:dyDescent="0.25">
      <c r="A100">
        <v>108</v>
      </c>
      <c r="B100" t="s">
        <v>21</v>
      </c>
      <c r="C100" t="s">
        <v>15</v>
      </c>
      <c r="D100" s="6">
        <v>43.14</v>
      </c>
      <c r="E100">
        <v>451.18</v>
      </c>
      <c r="F100">
        <v>449.29</v>
      </c>
      <c r="G100">
        <v>271.33</v>
      </c>
      <c r="H100">
        <v>30.66</v>
      </c>
      <c r="I100" t="s">
        <v>34</v>
      </c>
      <c r="J100" s="1">
        <v>45034</v>
      </c>
      <c r="K100">
        <v>2023</v>
      </c>
    </row>
    <row r="101" spans="1:11" x14ac:dyDescent="0.25">
      <c r="A101">
        <v>109</v>
      </c>
      <c r="B101" t="s">
        <v>34</v>
      </c>
      <c r="C101" t="s">
        <v>16</v>
      </c>
      <c r="D101" s="6">
        <v>53.24</v>
      </c>
      <c r="E101">
        <v>602.74</v>
      </c>
      <c r="F101">
        <v>644.45000000000005</v>
      </c>
      <c r="G101">
        <v>216.45</v>
      </c>
      <c r="H101">
        <v>37.54</v>
      </c>
      <c r="I101" t="s">
        <v>13</v>
      </c>
      <c r="J101" s="1">
        <v>45035</v>
      </c>
      <c r="K101">
        <v>2023</v>
      </c>
    </row>
    <row r="102" spans="1:11" x14ac:dyDescent="0.25">
      <c r="A102">
        <v>110</v>
      </c>
      <c r="B102" t="s">
        <v>14</v>
      </c>
      <c r="C102" t="s">
        <v>19</v>
      </c>
      <c r="D102" s="6">
        <v>47.09</v>
      </c>
      <c r="E102">
        <v>433.63</v>
      </c>
      <c r="F102">
        <v>651.53</v>
      </c>
      <c r="G102">
        <v>242.02</v>
      </c>
      <c r="H102">
        <v>27.4</v>
      </c>
      <c r="I102" t="s">
        <v>18</v>
      </c>
      <c r="J102" s="1">
        <v>45036</v>
      </c>
      <c r="K102">
        <v>2023</v>
      </c>
    </row>
    <row r="103" spans="1:11" x14ac:dyDescent="0.25">
      <c r="A103">
        <v>111</v>
      </c>
      <c r="B103" t="s">
        <v>21</v>
      </c>
      <c r="C103" t="s">
        <v>15</v>
      </c>
      <c r="D103" s="6">
        <v>33.5</v>
      </c>
      <c r="E103">
        <v>484.04</v>
      </c>
      <c r="F103">
        <v>655.73</v>
      </c>
      <c r="G103">
        <v>212.51</v>
      </c>
      <c r="H103">
        <v>29.93</v>
      </c>
      <c r="I103" t="s">
        <v>22</v>
      </c>
      <c r="J103" s="1">
        <v>45037</v>
      </c>
      <c r="K103">
        <v>2023</v>
      </c>
    </row>
    <row r="104" spans="1:11" x14ac:dyDescent="0.25">
      <c r="A104">
        <v>112</v>
      </c>
      <c r="B104" t="s">
        <v>14</v>
      </c>
      <c r="C104" t="s">
        <v>19</v>
      </c>
      <c r="D104" s="6">
        <v>49.5</v>
      </c>
      <c r="E104">
        <v>594.5</v>
      </c>
      <c r="F104">
        <v>412.61</v>
      </c>
      <c r="G104">
        <v>240.46</v>
      </c>
      <c r="H104">
        <v>20.99</v>
      </c>
      <c r="I104" t="s">
        <v>22</v>
      </c>
      <c r="J104" s="1">
        <v>45038</v>
      </c>
      <c r="K104">
        <v>2023</v>
      </c>
    </row>
    <row r="105" spans="1:11" x14ac:dyDescent="0.25">
      <c r="A105">
        <v>113</v>
      </c>
      <c r="B105" t="s">
        <v>11</v>
      </c>
      <c r="C105" t="s">
        <v>20</v>
      </c>
      <c r="D105" s="6">
        <v>48.43</v>
      </c>
      <c r="E105">
        <v>477.37</v>
      </c>
      <c r="F105">
        <v>718.78</v>
      </c>
      <c r="G105">
        <v>180.19</v>
      </c>
      <c r="H105">
        <v>26.68</v>
      </c>
      <c r="I105" t="s">
        <v>18</v>
      </c>
      <c r="J105" s="1">
        <v>45039</v>
      </c>
      <c r="K105">
        <v>2023</v>
      </c>
    </row>
    <row r="106" spans="1:11" x14ac:dyDescent="0.25">
      <c r="A106">
        <v>114</v>
      </c>
      <c r="B106" t="s">
        <v>11</v>
      </c>
      <c r="C106" t="s">
        <v>12</v>
      </c>
      <c r="D106" s="6">
        <v>60.62</v>
      </c>
      <c r="E106">
        <v>575.61</v>
      </c>
      <c r="F106">
        <v>522.11</v>
      </c>
      <c r="G106">
        <v>161.62</v>
      </c>
      <c r="H106">
        <v>20.47</v>
      </c>
      <c r="I106" t="s">
        <v>18</v>
      </c>
      <c r="J106" s="1">
        <v>45040</v>
      </c>
      <c r="K106">
        <v>2023</v>
      </c>
    </row>
    <row r="107" spans="1:11" x14ac:dyDescent="0.25">
      <c r="A107">
        <v>115</v>
      </c>
      <c r="B107" t="s">
        <v>11</v>
      </c>
      <c r="C107" t="s">
        <v>15</v>
      </c>
      <c r="D107" s="6">
        <v>27.66</v>
      </c>
      <c r="E107">
        <v>493.45</v>
      </c>
      <c r="F107">
        <v>675.17</v>
      </c>
      <c r="G107">
        <v>238.18</v>
      </c>
      <c r="H107">
        <v>32.15</v>
      </c>
      <c r="I107" t="s">
        <v>13</v>
      </c>
      <c r="J107" s="1">
        <v>45041</v>
      </c>
      <c r="K107">
        <v>2023</v>
      </c>
    </row>
    <row r="108" spans="1:11" x14ac:dyDescent="0.25">
      <c r="A108">
        <v>117</v>
      </c>
      <c r="B108" t="s">
        <v>14</v>
      </c>
      <c r="C108" t="s">
        <v>20</v>
      </c>
      <c r="D108" s="6">
        <v>38.44</v>
      </c>
      <c r="E108">
        <v>656.88</v>
      </c>
      <c r="F108">
        <v>444.17</v>
      </c>
      <c r="G108">
        <v>154.29</v>
      </c>
      <c r="H108">
        <v>28.89</v>
      </c>
      <c r="I108" t="s">
        <v>18</v>
      </c>
      <c r="J108" s="1">
        <v>45043</v>
      </c>
      <c r="K108">
        <v>2023</v>
      </c>
    </row>
    <row r="109" spans="1:11" x14ac:dyDescent="0.25">
      <c r="A109">
        <v>118</v>
      </c>
      <c r="B109" t="s">
        <v>14</v>
      </c>
      <c r="C109" t="s">
        <v>19</v>
      </c>
      <c r="D109" s="6">
        <v>53.19</v>
      </c>
      <c r="E109">
        <v>367.19</v>
      </c>
      <c r="F109">
        <v>512.88</v>
      </c>
      <c r="G109">
        <v>171.2</v>
      </c>
      <c r="H109">
        <v>31.43</v>
      </c>
      <c r="I109" t="s">
        <v>18</v>
      </c>
      <c r="J109" s="1">
        <v>45044</v>
      </c>
      <c r="K109">
        <v>2023</v>
      </c>
    </row>
    <row r="110" spans="1:11" x14ac:dyDescent="0.25">
      <c r="A110">
        <v>120</v>
      </c>
      <c r="B110" t="s">
        <v>14</v>
      </c>
      <c r="C110" t="s">
        <v>20</v>
      </c>
      <c r="D110" s="6">
        <v>49.13</v>
      </c>
      <c r="E110">
        <v>418.36</v>
      </c>
      <c r="F110">
        <v>630.58000000000004</v>
      </c>
      <c r="G110">
        <v>280.99</v>
      </c>
      <c r="H110">
        <v>33.700000000000003</v>
      </c>
      <c r="I110" t="s">
        <v>13</v>
      </c>
      <c r="J110" s="1">
        <v>45046</v>
      </c>
      <c r="K110">
        <v>2023</v>
      </c>
    </row>
    <row r="111" spans="1:11" x14ac:dyDescent="0.25">
      <c r="A111">
        <v>121</v>
      </c>
      <c r="B111" t="s">
        <v>14</v>
      </c>
      <c r="C111" t="s">
        <v>15</v>
      </c>
      <c r="D111" s="6">
        <v>58.07</v>
      </c>
      <c r="E111">
        <v>519.15</v>
      </c>
      <c r="F111">
        <v>452.14</v>
      </c>
      <c r="G111">
        <v>228.16</v>
      </c>
      <c r="H111">
        <v>30.65</v>
      </c>
      <c r="I111" t="s">
        <v>34</v>
      </c>
      <c r="J111" s="1">
        <v>45047</v>
      </c>
      <c r="K111">
        <v>2023</v>
      </c>
    </row>
    <row r="112" spans="1:11" x14ac:dyDescent="0.25">
      <c r="A112">
        <v>122</v>
      </c>
      <c r="B112" t="s">
        <v>14</v>
      </c>
      <c r="C112" t="s">
        <v>19</v>
      </c>
      <c r="D112" s="6">
        <v>37.54</v>
      </c>
      <c r="E112">
        <v>506.84</v>
      </c>
      <c r="F112">
        <v>619.75</v>
      </c>
      <c r="G112">
        <v>133.80000000000001</v>
      </c>
      <c r="H112">
        <v>20.07</v>
      </c>
      <c r="I112" t="s">
        <v>22</v>
      </c>
      <c r="J112" s="1">
        <v>45048</v>
      </c>
      <c r="K112">
        <v>2023</v>
      </c>
    </row>
    <row r="113" spans="1:11" x14ac:dyDescent="0.25">
      <c r="A113">
        <v>123</v>
      </c>
      <c r="B113" t="s">
        <v>34</v>
      </c>
      <c r="C113" t="s">
        <v>12</v>
      </c>
      <c r="D113" s="6">
        <v>416.37</v>
      </c>
      <c r="E113">
        <v>1577.85</v>
      </c>
      <c r="F113">
        <v>567.87</v>
      </c>
      <c r="G113">
        <v>195.35</v>
      </c>
      <c r="H113">
        <v>34.700000000000003</v>
      </c>
      <c r="I113" t="s">
        <v>13</v>
      </c>
      <c r="J113" s="1">
        <v>45049</v>
      </c>
      <c r="K113">
        <v>2023</v>
      </c>
    </row>
    <row r="114" spans="1:11" x14ac:dyDescent="0.25">
      <c r="A114">
        <v>124</v>
      </c>
      <c r="B114" t="s">
        <v>14</v>
      </c>
      <c r="C114" t="s">
        <v>20</v>
      </c>
      <c r="D114" s="6">
        <v>42.92</v>
      </c>
      <c r="E114">
        <v>605.85</v>
      </c>
      <c r="F114">
        <v>454.39</v>
      </c>
      <c r="G114">
        <v>187.71</v>
      </c>
      <c r="H114">
        <v>28.05</v>
      </c>
      <c r="I114" t="s">
        <v>34</v>
      </c>
      <c r="J114" s="1">
        <v>45050</v>
      </c>
      <c r="K114">
        <v>2023</v>
      </c>
    </row>
    <row r="115" spans="1:11" x14ac:dyDescent="0.25">
      <c r="A115">
        <v>125</v>
      </c>
      <c r="B115" t="s">
        <v>14</v>
      </c>
      <c r="C115" t="s">
        <v>15</v>
      </c>
      <c r="D115" s="6">
        <v>34.44</v>
      </c>
      <c r="E115">
        <v>520.33000000000004</v>
      </c>
      <c r="F115">
        <v>558.55999999999995</v>
      </c>
      <c r="G115">
        <v>141.34</v>
      </c>
      <c r="H115">
        <v>23.65</v>
      </c>
      <c r="I115" t="s">
        <v>18</v>
      </c>
      <c r="J115" s="1">
        <v>45051</v>
      </c>
      <c r="K115">
        <v>2023</v>
      </c>
    </row>
    <row r="116" spans="1:11" x14ac:dyDescent="0.25">
      <c r="A116">
        <v>126</v>
      </c>
      <c r="B116" t="s">
        <v>11</v>
      </c>
      <c r="C116" t="s">
        <v>16</v>
      </c>
      <c r="D116" s="6">
        <v>47.28</v>
      </c>
      <c r="E116">
        <v>471.53</v>
      </c>
      <c r="F116">
        <v>423.21</v>
      </c>
      <c r="G116">
        <v>194.76</v>
      </c>
      <c r="H116">
        <v>27.81</v>
      </c>
      <c r="I116" t="s">
        <v>13</v>
      </c>
      <c r="J116" s="1">
        <v>45052</v>
      </c>
      <c r="K116">
        <v>2023</v>
      </c>
    </row>
    <row r="117" spans="1:11" x14ac:dyDescent="0.25">
      <c r="A117">
        <v>127</v>
      </c>
      <c r="B117" t="s">
        <v>34</v>
      </c>
      <c r="C117" t="s">
        <v>34</v>
      </c>
      <c r="D117" s="6">
        <v>29.05</v>
      </c>
      <c r="E117">
        <v>456.19</v>
      </c>
      <c r="F117">
        <v>762.02</v>
      </c>
      <c r="G117">
        <v>185.5</v>
      </c>
      <c r="H117">
        <v>20.49</v>
      </c>
      <c r="I117" t="s">
        <v>22</v>
      </c>
      <c r="J117" s="1">
        <v>45053</v>
      </c>
      <c r="K117">
        <v>2023</v>
      </c>
    </row>
    <row r="118" spans="1:11" x14ac:dyDescent="0.25">
      <c r="A118">
        <v>128</v>
      </c>
      <c r="B118" t="s">
        <v>17</v>
      </c>
      <c r="C118" t="s">
        <v>19</v>
      </c>
      <c r="D118" s="6">
        <v>52.54</v>
      </c>
      <c r="E118">
        <v>513.98</v>
      </c>
      <c r="F118">
        <v>160.28</v>
      </c>
      <c r="G118">
        <v>181.92</v>
      </c>
      <c r="H118">
        <v>23.75</v>
      </c>
      <c r="I118" t="s">
        <v>34</v>
      </c>
      <c r="J118" s="1">
        <v>45054</v>
      </c>
      <c r="K118">
        <v>2023</v>
      </c>
    </row>
    <row r="119" spans="1:11" x14ac:dyDescent="0.25">
      <c r="A119">
        <v>129</v>
      </c>
      <c r="B119" t="s">
        <v>17</v>
      </c>
      <c r="C119" t="s">
        <v>20</v>
      </c>
      <c r="D119" s="6">
        <v>47.41</v>
      </c>
      <c r="E119">
        <v>540.79</v>
      </c>
      <c r="F119">
        <v>560.75</v>
      </c>
      <c r="G119">
        <v>179.63</v>
      </c>
      <c r="H119">
        <v>30.71</v>
      </c>
      <c r="I119" t="s">
        <v>22</v>
      </c>
      <c r="J119" s="1">
        <v>45055</v>
      </c>
      <c r="K119">
        <v>2023</v>
      </c>
    </row>
    <row r="120" spans="1:11" x14ac:dyDescent="0.25">
      <c r="A120">
        <v>130</v>
      </c>
      <c r="B120" t="s">
        <v>14</v>
      </c>
      <c r="C120" t="s">
        <v>20</v>
      </c>
      <c r="D120" s="6">
        <v>62.34</v>
      </c>
      <c r="E120">
        <v>487.5</v>
      </c>
      <c r="F120">
        <v>268.25</v>
      </c>
      <c r="G120">
        <v>273.57</v>
      </c>
      <c r="H120">
        <v>31.13</v>
      </c>
      <c r="I120" t="s">
        <v>13</v>
      </c>
      <c r="J120" s="1">
        <v>45056</v>
      </c>
      <c r="K120">
        <v>2023</v>
      </c>
    </row>
    <row r="121" spans="1:11" x14ac:dyDescent="0.25">
      <c r="A121">
        <v>131</v>
      </c>
      <c r="B121" t="s">
        <v>17</v>
      </c>
      <c r="C121" t="s">
        <v>12</v>
      </c>
      <c r="D121" s="6">
        <v>56.49</v>
      </c>
      <c r="E121">
        <v>216.75</v>
      </c>
      <c r="F121">
        <v>452.92</v>
      </c>
      <c r="G121">
        <v>181.81</v>
      </c>
      <c r="H121">
        <v>31.53</v>
      </c>
      <c r="I121" t="s">
        <v>34</v>
      </c>
      <c r="J121" s="1">
        <v>45057</v>
      </c>
      <c r="K121">
        <v>2023</v>
      </c>
    </row>
    <row r="122" spans="1:11" x14ac:dyDescent="0.25">
      <c r="A122">
        <v>133</v>
      </c>
      <c r="B122" t="s">
        <v>14</v>
      </c>
      <c r="C122" t="s">
        <v>16</v>
      </c>
      <c r="D122" s="6">
        <v>41.62</v>
      </c>
      <c r="E122">
        <v>355.85</v>
      </c>
      <c r="F122">
        <v>660.92</v>
      </c>
      <c r="G122">
        <v>197.06</v>
      </c>
      <c r="H122">
        <v>26.54</v>
      </c>
      <c r="I122" t="s">
        <v>22</v>
      </c>
      <c r="J122" s="1">
        <v>45059</v>
      </c>
      <c r="K122">
        <v>2023</v>
      </c>
    </row>
    <row r="123" spans="1:11" x14ac:dyDescent="0.25">
      <c r="A123">
        <v>134</v>
      </c>
      <c r="B123" t="s">
        <v>17</v>
      </c>
      <c r="C123" t="s">
        <v>34</v>
      </c>
      <c r="D123" s="6">
        <v>55.21</v>
      </c>
      <c r="E123">
        <v>479.05</v>
      </c>
      <c r="F123">
        <v>396.94</v>
      </c>
      <c r="G123">
        <v>174.75</v>
      </c>
      <c r="H123">
        <v>29.73</v>
      </c>
      <c r="I123" t="s">
        <v>13</v>
      </c>
      <c r="J123" s="1">
        <v>45060</v>
      </c>
      <c r="K123">
        <v>2023</v>
      </c>
    </row>
    <row r="124" spans="1:11" x14ac:dyDescent="0.25">
      <c r="A124">
        <v>135</v>
      </c>
      <c r="B124" t="s">
        <v>14</v>
      </c>
      <c r="C124" t="s">
        <v>16</v>
      </c>
      <c r="D124" s="6">
        <v>58.47</v>
      </c>
      <c r="E124">
        <v>359.54</v>
      </c>
      <c r="F124">
        <v>636.96</v>
      </c>
      <c r="G124">
        <v>203.98</v>
      </c>
      <c r="H124">
        <v>27.81</v>
      </c>
      <c r="I124" t="s">
        <v>18</v>
      </c>
      <c r="J124" s="1">
        <v>45061</v>
      </c>
      <c r="K124">
        <v>2023</v>
      </c>
    </row>
    <row r="125" spans="1:11" x14ac:dyDescent="0.25">
      <c r="A125">
        <v>136</v>
      </c>
      <c r="B125" t="s">
        <v>21</v>
      </c>
      <c r="C125" t="s">
        <v>15</v>
      </c>
      <c r="D125" s="6">
        <v>62.23</v>
      </c>
      <c r="E125">
        <v>358.35</v>
      </c>
      <c r="F125">
        <v>338.54</v>
      </c>
      <c r="G125">
        <v>203.27</v>
      </c>
      <c r="H125">
        <v>21.87</v>
      </c>
      <c r="I125" t="s">
        <v>34</v>
      </c>
      <c r="J125" s="1">
        <v>45062</v>
      </c>
      <c r="K125">
        <v>2023</v>
      </c>
    </row>
    <row r="126" spans="1:11" x14ac:dyDescent="0.25">
      <c r="A126">
        <v>137</v>
      </c>
      <c r="B126" t="s">
        <v>34</v>
      </c>
      <c r="C126" t="s">
        <v>15</v>
      </c>
      <c r="D126" s="6">
        <v>62.15</v>
      </c>
      <c r="E126">
        <v>623.51</v>
      </c>
      <c r="F126">
        <v>641.6</v>
      </c>
      <c r="G126">
        <v>203.99</v>
      </c>
      <c r="H126">
        <v>26.14</v>
      </c>
      <c r="I126" t="s">
        <v>18</v>
      </c>
      <c r="J126" s="1">
        <v>45063</v>
      </c>
      <c r="K126">
        <v>2023</v>
      </c>
    </row>
    <row r="127" spans="1:11" x14ac:dyDescent="0.25">
      <c r="A127">
        <v>138</v>
      </c>
      <c r="B127" t="s">
        <v>21</v>
      </c>
      <c r="C127" t="s">
        <v>16</v>
      </c>
      <c r="D127" s="6">
        <v>49.1</v>
      </c>
      <c r="E127">
        <v>467.99</v>
      </c>
      <c r="F127">
        <v>423.08</v>
      </c>
      <c r="G127">
        <v>157.04</v>
      </c>
      <c r="H127">
        <v>34.450000000000003</v>
      </c>
      <c r="I127" t="s">
        <v>13</v>
      </c>
      <c r="J127" s="1">
        <v>45064</v>
      </c>
      <c r="K127">
        <v>2023</v>
      </c>
    </row>
    <row r="128" spans="1:11" x14ac:dyDescent="0.25">
      <c r="A128">
        <v>139</v>
      </c>
      <c r="B128" t="s">
        <v>14</v>
      </c>
      <c r="C128" t="s">
        <v>34</v>
      </c>
      <c r="D128" s="6">
        <v>53.63</v>
      </c>
      <c r="E128">
        <v>460.33</v>
      </c>
      <c r="F128">
        <v>488.81</v>
      </c>
      <c r="G128">
        <v>189.69</v>
      </c>
      <c r="H128">
        <v>37.94</v>
      </c>
      <c r="I128" t="s">
        <v>34</v>
      </c>
      <c r="J128" s="1">
        <v>45065</v>
      </c>
      <c r="K128">
        <v>2023</v>
      </c>
    </row>
    <row r="129" spans="1:11" x14ac:dyDescent="0.25">
      <c r="A129">
        <v>140</v>
      </c>
      <c r="B129" t="s">
        <v>11</v>
      </c>
      <c r="C129" t="s">
        <v>16</v>
      </c>
      <c r="D129" s="6">
        <v>62.99</v>
      </c>
      <c r="E129">
        <v>548.25</v>
      </c>
      <c r="F129">
        <v>439.63</v>
      </c>
      <c r="G129">
        <v>238.02</v>
      </c>
      <c r="H129">
        <v>33.26</v>
      </c>
      <c r="I129" t="s">
        <v>34</v>
      </c>
      <c r="J129" s="1">
        <v>45066</v>
      </c>
      <c r="K129">
        <v>2023</v>
      </c>
    </row>
    <row r="130" spans="1:11" x14ac:dyDescent="0.25">
      <c r="A130">
        <v>141</v>
      </c>
      <c r="B130" t="s">
        <v>34</v>
      </c>
      <c r="C130" t="s">
        <v>34</v>
      </c>
      <c r="D130" s="6">
        <v>46.97</v>
      </c>
      <c r="E130">
        <v>462.94</v>
      </c>
      <c r="F130">
        <v>633.88</v>
      </c>
      <c r="G130">
        <v>191.01</v>
      </c>
      <c r="H130">
        <v>37.72</v>
      </c>
      <c r="I130" t="s">
        <v>18</v>
      </c>
      <c r="J130" s="1">
        <v>45067</v>
      </c>
      <c r="K130">
        <v>2023</v>
      </c>
    </row>
    <row r="131" spans="1:11" x14ac:dyDescent="0.25">
      <c r="A131">
        <v>142</v>
      </c>
      <c r="B131" t="s">
        <v>14</v>
      </c>
      <c r="C131" t="s">
        <v>34</v>
      </c>
      <c r="D131" s="6">
        <v>53.8</v>
      </c>
      <c r="E131">
        <v>710.38</v>
      </c>
      <c r="F131">
        <v>610.53</v>
      </c>
      <c r="G131">
        <v>208.09</v>
      </c>
      <c r="H131">
        <v>30.43</v>
      </c>
      <c r="I131" t="s">
        <v>13</v>
      </c>
      <c r="J131" s="1">
        <v>45068</v>
      </c>
      <c r="K131">
        <v>2023</v>
      </c>
    </row>
    <row r="132" spans="1:11" x14ac:dyDescent="0.25">
      <c r="A132">
        <v>143</v>
      </c>
      <c r="B132" t="s">
        <v>11</v>
      </c>
      <c r="C132" t="s">
        <v>19</v>
      </c>
      <c r="D132" s="6">
        <v>46.73</v>
      </c>
      <c r="E132">
        <v>472.7</v>
      </c>
      <c r="F132">
        <v>533.22</v>
      </c>
      <c r="G132">
        <v>208.35</v>
      </c>
      <c r="H132">
        <v>38.71</v>
      </c>
      <c r="I132" t="s">
        <v>18</v>
      </c>
      <c r="J132" s="1">
        <v>45069</v>
      </c>
      <c r="K132">
        <v>2023</v>
      </c>
    </row>
    <row r="133" spans="1:11" x14ac:dyDescent="0.25">
      <c r="A133">
        <v>144</v>
      </c>
      <c r="B133" t="s">
        <v>21</v>
      </c>
      <c r="C133" t="s">
        <v>34</v>
      </c>
      <c r="D133" s="6">
        <v>44.49</v>
      </c>
      <c r="E133">
        <v>536.51</v>
      </c>
      <c r="F133">
        <v>341.78</v>
      </c>
      <c r="G133">
        <v>220.87</v>
      </c>
      <c r="H133">
        <v>40.270000000000003</v>
      </c>
      <c r="I133" t="s">
        <v>18</v>
      </c>
      <c r="J133" s="1">
        <v>45070</v>
      </c>
      <c r="K133">
        <v>2023</v>
      </c>
    </row>
    <row r="134" spans="1:11" x14ac:dyDescent="0.25">
      <c r="A134">
        <v>145</v>
      </c>
      <c r="B134" t="s">
        <v>14</v>
      </c>
      <c r="C134" t="s">
        <v>12</v>
      </c>
      <c r="D134" s="6">
        <v>50.48</v>
      </c>
      <c r="E134">
        <v>597.09</v>
      </c>
      <c r="F134">
        <v>394.2</v>
      </c>
      <c r="G134">
        <v>227.93</v>
      </c>
      <c r="H134">
        <v>21.33</v>
      </c>
      <c r="I134" t="s">
        <v>13</v>
      </c>
      <c r="J134" s="1">
        <v>45071</v>
      </c>
      <c r="K134">
        <v>2023</v>
      </c>
    </row>
    <row r="135" spans="1:11" x14ac:dyDescent="0.25">
      <c r="A135">
        <v>146</v>
      </c>
      <c r="B135" t="s">
        <v>34</v>
      </c>
      <c r="C135" t="s">
        <v>34</v>
      </c>
      <c r="D135" s="6">
        <v>43.12</v>
      </c>
      <c r="E135">
        <v>660.23</v>
      </c>
      <c r="F135">
        <v>356.57</v>
      </c>
      <c r="G135">
        <v>191.29</v>
      </c>
      <c r="H135">
        <v>31.11</v>
      </c>
      <c r="I135" t="s">
        <v>13</v>
      </c>
      <c r="J135" s="1">
        <v>45072</v>
      </c>
      <c r="K135">
        <v>2023</v>
      </c>
    </row>
    <row r="136" spans="1:11" x14ac:dyDescent="0.25">
      <c r="A136">
        <v>147</v>
      </c>
      <c r="B136" t="s">
        <v>34</v>
      </c>
      <c r="C136" t="s">
        <v>34</v>
      </c>
      <c r="D136" s="6">
        <v>48.69</v>
      </c>
      <c r="E136">
        <v>425.8</v>
      </c>
      <c r="F136">
        <v>210.22</v>
      </c>
      <c r="G136">
        <v>154.43</v>
      </c>
      <c r="H136">
        <v>30.43</v>
      </c>
      <c r="I136" t="s">
        <v>13</v>
      </c>
      <c r="J136" s="1">
        <v>45073</v>
      </c>
      <c r="K136">
        <v>2023</v>
      </c>
    </row>
    <row r="137" spans="1:11" x14ac:dyDescent="0.25">
      <c r="A137">
        <v>148</v>
      </c>
      <c r="B137" t="s">
        <v>21</v>
      </c>
      <c r="C137" t="s">
        <v>34</v>
      </c>
      <c r="D137" s="6">
        <v>198.25</v>
      </c>
      <c r="E137">
        <v>1832.81</v>
      </c>
      <c r="F137">
        <v>631.36</v>
      </c>
      <c r="G137">
        <v>139.06</v>
      </c>
      <c r="H137">
        <v>27.88</v>
      </c>
      <c r="I137" t="s">
        <v>34</v>
      </c>
      <c r="J137" s="1">
        <v>45074</v>
      </c>
      <c r="K137">
        <v>2023</v>
      </c>
    </row>
    <row r="138" spans="1:11" x14ac:dyDescent="0.25">
      <c r="A138">
        <v>149</v>
      </c>
      <c r="B138" t="s">
        <v>14</v>
      </c>
      <c r="C138" t="s">
        <v>15</v>
      </c>
      <c r="D138" s="6">
        <v>48.1</v>
      </c>
      <c r="E138">
        <v>627.46</v>
      </c>
      <c r="F138">
        <v>440.66</v>
      </c>
      <c r="G138">
        <v>250.88</v>
      </c>
      <c r="H138">
        <v>32.46</v>
      </c>
      <c r="I138" t="s">
        <v>34</v>
      </c>
      <c r="J138" s="1">
        <v>45075</v>
      </c>
      <c r="K138">
        <v>2023</v>
      </c>
    </row>
    <row r="139" spans="1:11" x14ac:dyDescent="0.25">
      <c r="A139">
        <v>150</v>
      </c>
      <c r="B139" t="s">
        <v>17</v>
      </c>
      <c r="C139" t="s">
        <v>12</v>
      </c>
      <c r="D139" s="6">
        <v>54.48</v>
      </c>
      <c r="E139">
        <v>581.01</v>
      </c>
      <c r="F139">
        <v>439.38</v>
      </c>
      <c r="G139">
        <v>238.51</v>
      </c>
      <c r="H139">
        <v>30.21</v>
      </c>
      <c r="I139" t="s">
        <v>22</v>
      </c>
      <c r="J139" s="1">
        <v>45076</v>
      </c>
      <c r="K139">
        <v>2023</v>
      </c>
    </row>
    <row r="140" spans="1:11" x14ac:dyDescent="0.25">
      <c r="A140">
        <v>151</v>
      </c>
      <c r="B140" t="s">
        <v>11</v>
      </c>
      <c r="C140" t="s">
        <v>12</v>
      </c>
      <c r="D140" s="6">
        <v>44.11</v>
      </c>
      <c r="E140">
        <v>607.52</v>
      </c>
      <c r="F140">
        <v>659.53</v>
      </c>
      <c r="G140">
        <v>232.47</v>
      </c>
      <c r="H140">
        <v>26.32</v>
      </c>
      <c r="I140" t="s">
        <v>34</v>
      </c>
      <c r="J140" s="1">
        <v>45077</v>
      </c>
      <c r="K140">
        <v>2023</v>
      </c>
    </row>
    <row r="141" spans="1:11" x14ac:dyDescent="0.25">
      <c r="A141">
        <v>152</v>
      </c>
      <c r="B141" t="s">
        <v>21</v>
      </c>
      <c r="C141" t="s">
        <v>16</v>
      </c>
      <c r="D141" s="6">
        <v>50.09</v>
      </c>
      <c r="E141">
        <v>363.13</v>
      </c>
      <c r="F141">
        <v>422.88</v>
      </c>
      <c r="G141">
        <v>240.56</v>
      </c>
      <c r="H141">
        <v>29.87</v>
      </c>
      <c r="I141" t="s">
        <v>22</v>
      </c>
      <c r="J141" s="1">
        <v>45078</v>
      </c>
      <c r="K141">
        <v>2023</v>
      </c>
    </row>
    <row r="142" spans="1:11" x14ac:dyDescent="0.25">
      <c r="A142">
        <v>153</v>
      </c>
      <c r="B142" t="s">
        <v>17</v>
      </c>
      <c r="C142" t="s">
        <v>19</v>
      </c>
      <c r="D142" s="6">
        <v>51.39</v>
      </c>
      <c r="E142">
        <v>654.79999999999995</v>
      </c>
      <c r="F142">
        <v>379.14</v>
      </c>
      <c r="G142">
        <v>191.92</v>
      </c>
      <c r="H142">
        <v>36.020000000000003</v>
      </c>
      <c r="I142" t="s">
        <v>18</v>
      </c>
      <c r="J142" s="1">
        <v>45079</v>
      </c>
      <c r="K142">
        <v>2023</v>
      </c>
    </row>
    <row r="143" spans="1:11" x14ac:dyDescent="0.25">
      <c r="A143">
        <v>154</v>
      </c>
      <c r="B143" t="s">
        <v>17</v>
      </c>
      <c r="C143" t="s">
        <v>34</v>
      </c>
      <c r="D143" s="6">
        <v>54.53</v>
      </c>
      <c r="E143">
        <v>423.86</v>
      </c>
      <c r="F143">
        <v>453.03</v>
      </c>
      <c r="G143">
        <v>168.76</v>
      </c>
      <c r="H143">
        <v>30.91</v>
      </c>
      <c r="I143" t="s">
        <v>18</v>
      </c>
      <c r="J143" s="1">
        <v>45080</v>
      </c>
      <c r="K143">
        <v>2023</v>
      </c>
    </row>
    <row r="144" spans="1:11" x14ac:dyDescent="0.25">
      <c r="A144">
        <v>155</v>
      </c>
      <c r="B144" t="s">
        <v>14</v>
      </c>
      <c r="C144" t="s">
        <v>20</v>
      </c>
      <c r="D144" s="6">
        <v>48.66</v>
      </c>
      <c r="E144">
        <v>519.23</v>
      </c>
      <c r="F144">
        <v>344.08</v>
      </c>
      <c r="G144">
        <v>150.97999999999999</v>
      </c>
      <c r="H144">
        <v>33.130000000000003</v>
      </c>
      <c r="I144" t="s">
        <v>13</v>
      </c>
      <c r="J144" s="1">
        <v>45081</v>
      </c>
      <c r="K144">
        <v>2023</v>
      </c>
    </row>
    <row r="145" spans="1:11" x14ac:dyDescent="0.25">
      <c r="A145">
        <v>156</v>
      </c>
      <c r="B145" t="s">
        <v>17</v>
      </c>
      <c r="C145" t="s">
        <v>19</v>
      </c>
      <c r="D145" s="6">
        <v>60.86</v>
      </c>
      <c r="E145">
        <v>485.18</v>
      </c>
      <c r="F145">
        <v>521.32000000000005</v>
      </c>
      <c r="G145">
        <v>145.53</v>
      </c>
      <c r="H145">
        <v>28.61</v>
      </c>
      <c r="I145" t="s">
        <v>13</v>
      </c>
      <c r="J145" s="1">
        <v>45082</v>
      </c>
      <c r="K145">
        <v>2023</v>
      </c>
    </row>
    <row r="146" spans="1:11" x14ac:dyDescent="0.25">
      <c r="A146">
        <v>157</v>
      </c>
      <c r="B146" t="s">
        <v>14</v>
      </c>
      <c r="C146" t="s">
        <v>19</v>
      </c>
      <c r="D146" s="6">
        <v>28.99</v>
      </c>
      <c r="E146">
        <v>412.15</v>
      </c>
      <c r="F146">
        <v>435.16</v>
      </c>
      <c r="G146">
        <v>260.61</v>
      </c>
      <c r="H146">
        <v>32.26</v>
      </c>
      <c r="I146" t="s">
        <v>34</v>
      </c>
      <c r="J146" s="1">
        <v>45083</v>
      </c>
      <c r="K146">
        <v>2023</v>
      </c>
    </row>
    <row r="147" spans="1:11" x14ac:dyDescent="0.25">
      <c r="A147">
        <v>158</v>
      </c>
      <c r="B147" t="s">
        <v>34</v>
      </c>
      <c r="C147" t="s">
        <v>12</v>
      </c>
      <c r="D147" s="6">
        <v>79.38</v>
      </c>
      <c r="E147">
        <v>358.75</v>
      </c>
      <c r="F147">
        <v>419.13</v>
      </c>
      <c r="G147">
        <v>175.34</v>
      </c>
      <c r="H147">
        <v>23.95</v>
      </c>
      <c r="I147" t="s">
        <v>34</v>
      </c>
      <c r="J147" s="1">
        <v>45084</v>
      </c>
      <c r="K147">
        <v>2023</v>
      </c>
    </row>
    <row r="148" spans="1:11" x14ac:dyDescent="0.25">
      <c r="A148">
        <v>160</v>
      </c>
      <c r="B148" t="s">
        <v>17</v>
      </c>
      <c r="C148" t="s">
        <v>34</v>
      </c>
      <c r="D148" s="6">
        <v>54.03</v>
      </c>
      <c r="E148">
        <v>511.9</v>
      </c>
      <c r="F148">
        <v>467.25</v>
      </c>
      <c r="G148">
        <v>190.66</v>
      </c>
      <c r="H148">
        <v>29.49</v>
      </c>
      <c r="I148" t="s">
        <v>18</v>
      </c>
      <c r="J148" s="1">
        <v>45086</v>
      </c>
      <c r="K148">
        <v>2023</v>
      </c>
    </row>
    <row r="149" spans="1:11" x14ac:dyDescent="0.25">
      <c r="A149">
        <v>161</v>
      </c>
      <c r="B149" t="s">
        <v>14</v>
      </c>
      <c r="C149" t="s">
        <v>34</v>
      </c>
      <c r="D149" s="6">
        <v>40.619999999999997</v>
      </c>
      <c r="E149">
        <v>347.47</v>
      </c>
      <c r="F149">
        <v>490.02</v>
      </c>
      <c r="G149">
        <v>166.19</v>
      </c>
      <c r="H149">
        <v>23.62</v>
      </c>
      <c r="I149" t="s">
        <v>22</v>
      </c>
      <c r="J149" s="1">
        <v>45087</v>
      </c>
      <c r="K149">
        <v>2023</v>
      </c>
    </row>
    <row r="150" spans="1:11" x14ac:dyDescent="0.25">
      <c r="A150">
        <v>164</v>
      </c>
      <c r="B150" t="s">
        <v>34</v>
      </c>
      <c r="C150" t="s">
        <v>34</v>
      </c>
      <c r="D150" s="6">
        <v>43.49</v>
      </c>
      <c r="E150">
        <v>236.12</v>
      </c>
      <c r="F150">
        <v>470.22</v>
      </c>
      <c r="G150">
        <v>270.91000000000003</v>
      </c>
      <c r="H150">
        <v>30.65</v>
      </c>
      <c r="I150" t="s">
        <v>18</v>
      </c>
      <c r="J150" s="1">
        <v>45090</v>
      </c>
      <c r="K150">
        <v>2023</v>
      </c>
    </row>
    <row r="151" spans="1:11" x14ac:dyDescent="0.25">
      <c r="A151">
        <v>165</v>
      </c>
      <c r="B151" t="s">
        <v>34</v>
      </c>
      <c r="C151" t="s">
        <v>12</v>
      </c>
      <c r="D151" s="6">
        <v>60.73</v>
      </c>
      <c r="E151">
        <v>577.9</v>
      </c>
      <c r="F151">
        <v>458.11</v>
      </c>
      <c r="G151">
        <v>145.79</v>
      </c>
      <c r="H151">
        <v>34.03</v>
      </c>
      <c r="I151" t="s">
        <v>18</v>
      </c>
      <c r="J151" s="1">
        <v>45091</v>
      </c>
      <c r="K151">
        <v>2023</v>
      </c>
    </row>
    <row r="152" spans="1:11" x14ac:dyDescent="0.25">
      <c r="A152">
        <v>166</v>
      </c>
      <c r="B152" t="s">
        <v>21</v>
      </c>
      <c r="C152" t="s">
        <v>34</v>
      </c>
      <c r="D152" s="6">
        <v>48.36</v>
      </c>
      <c r="E152">
        <v>259.01</v>
      </c>
      <c r="F152">
        <v>483.73</v>
      </c>
      <c r="G152">
        <v>305.83999999999997</v>
      </c>
      <c r="H152">
        <v>27</v>
      </c>
      <c r="I152" t="s">
        <v>18</v>
      </c>
      <c r="J152" s="1">
        <v>45092</v>
      </c>
      <c r="K152">
        <v>2023</v>
      </c>
    </row>
    <row r="153" spans="1:11" x14ac:dyDescent="0.25">
      <c r="A153">
        <v>167</v>
      </c>
      <c r="B153" t="s">
        <v>34</v>
      </c>
      <c r="C153" t="s">
        <v>15</v>
      </c>
      <c r="D153" s="6">
        <v>55.47</v>
      </c>
      <c r="E153">
        <v>492.26</v>
      </c>
      <c r="F153">
        <v>398.8</v>
      </c>
      <c r="G153">
        <v>157.97</v>
      </c>
      <c r="H153">
        <v>30.29</v>
      </c>
      <c r="I153" t="s">
        <v>22</v>
      </c>
      <c r="J153" s="1">
        <v>45093</v>
      </c>
      <c r="K153">
        <v>2023</v>
      </c>
    </row>
    <row r="154" spans="1:11" x14ac:dyDescent="0.25">
      <c r="A154">
        <v>168</v>
      </c>
      <c r="B154" t="s">
        <v>17</v>
      </c>
      <c r="C154" t="s">
        <v>20</v>
      </c>
      <c r="D154" s="6">
        <v>40.83</v>
      </c>
      <c r="E154">
        <v>501.5</v>
      </c>
      <c r="F154">
        <v>600.54999999999995</v>
      </c>
      <c r="G154">
        <v>237.5</v>
      </c>
      <c r="H154">
        <v>26.64</v>
      </c>
      <c r="I154" t="s">
        <v>34</v>
      </c>
      <c r="J154" s="1">
        <v>45094</v>
      </c>
      <c r="K154">
        <v>2023</v>
      </c>
    </row>
    <row r="155" spans="1:11" x14ac:dyDescent="0.25">
      <c r="A155">
        <v>169</v>
      </c>
      <c r="B155" t="s">
        <v>14</v>
      </c>
      <c r="C155" t="s">
        <v>12</v>
      </c>
      <c r="D155" s="6">
        <v>49.69</v>
      </c>
      <c r="E155">
        <v>553.80999999999995</v>
      </c>
      <c r="F155">
        <v>491.62</v>
      </c>
      <c r="G155">
        <v>192.74</v>
      </c>
      <c r="H155">
        <v>33.53</v>
      </c>
      <c r="I155" t="s">
        <v>13</v>
      </c>
      <c r="J155" s="1">
        <v>45095</v>
      </c>
      <c r="K155">
        <v>2023</v>
      </c>
    </row>
    <row r="156" spans="1:11" x14ac:dyDescent="0.25">
      <c r="A156">
        <v>171</v>
      </c>
      <c r="B156" t="s">
        <v>34</v>
      </c>
      <c r="C156" t="s">
        <v>12</v>
      </c>
      <c r="D156" s="6">
        <v>59.63</v>
      </c>
      <c r="E156">
        <v>701.79</v>
      </c>
      <c r="F156">
        <v>521.33000000000004</v>
      </c>
      <c r="G156">
        <v>136.43</v>
      </c>
      <c r="H156">
        <v>32.42</v>
      </c>
      <c r="I156" t="s">
        <v>34</v>
      </c>
      <c r="J156" s="1">
        <v>45097</v>
      </c>
      <c r="K156">
        <v>2023</v>
      </c>
    </row>
    <row r="157" spans="1:11" x14ac:dyDescent="0.25">
      <c r="A157">
        <v>172</v>
      </c>
      <c r="B157" t="s">
        <v>21</v>
      </c>
      <c r="C157" t="s">
        <v>16</v>
      </c>
      <c r="D157" s="6">
        <v>53.08</v>
      </c>
      <c r="E157">
        <v>521.63</v>
      </c>
      <c r="F157">
        <v>471.08</v>
      </c>
      <c r="G157">
        <v>195.08</v>
      </c>
      <c r="H157">
        <v>35.31</v>
      </c>
      <c r="I157" t="s">
        <v>34</v>
      </c>
      <c r="J157" s="1">
        <v>45098</v>
      </c>
      <c r="K157">
        <v>2023</v>
      </c>
    </row>
    <row r="158" spans="1:11" x14ac:dyDescent="0.25">
      <c r="A158">
        <v>173</v>
      </c>
      <c r="B158" t="s">
        <v>21</v>
      </c>
      <c r="C158" t="s">
        <v>19</v>
      </c>
      <c r="D158" s="6">
        <v>45.51</v>
      </c>
      <c r="E158">
        <v>605.36</v>
      </c>
      <c r="F158">
        <v>271.94</v>
      </c>
      <c r="G158">
        <v>142.09</v>
      </c>
      <c r="H158">
        <v>30.16</v>
      </c>
      <c r="I158" t="s">
        <v>34</v>
      </c>
      <c r="J158" s="1">
        <v>45099</v>
      </c>
      <c r="K158">
        <v>2023</v>
      </c>
    </row>
    <row r="159" spans="1:11" x14ac:dyDescent="0.25">
      <c r="A159">
        <v>174</v>
      </c>
      <c r="B159" t="s">
        <v>11</v>
      </c>
      <c r="C159" t="s">
        <v>16</v>
      </c>
      <c r="D159" s="6">
        <v>50.67</v>
      </c>
      <c r="E159">
        <v>427.65</v>
      </c>
      <c r="F159">
        <v>520.91</v>
      </c>
      <c r="G159">
        <v>115.92</v>
      </c>
      <c r="H159">
        <v>34.03</v>
      </c>
      <c r="I159" t="s">
        <v>34</v>
      </c>
      <c r="J159" s="1">
        <v>45100</v>
      </c>
      <c r="K159">
        <v>2023</v>
      </c>
    </row>
    <row r="160" spans="1:11" x14ac:dyDescent="0.25">
      <c r="A160">
        <v>175</v>
      </c>
      <c r="B160" t="s">
        <v>14</v>
      </c>
      <c r="C160" t="s">
        <v>34</v>
      </c>
      <c r="D160" s="6">
        <v>51.98</v>
      </c>
      <c r="E160">
        <v>512.08000000000004</v>
      </c>
      <c r="F160">
        <v>357.66</v>
      </c>
      <c r="G160">
        <v>205.98</v>
      </c>
      <c r="H160">
        <v>30.38</v>
      </c>
      <c r="I160" t="s">
        <v>22</v>
      </c>
      <c r="J160" s="1">
        <v>45101</v>
      </c>
      <c r="K160">
        <v>2023</v>
      </c>
    </row>
    <row r="161" spans="1:11" x14ac:dyDescent="0.25">
      <c r="A161">
        <v>177</v>
      </c>
      <c r="B161" t="s">
        <v>34</v>
      </c>
      <c r="C161" t="s">
        <v>34</v>
      </c>
      <c r="D161" s="6">
        <v>39.229999999999997</v>
      </c>
      <c r="E161">
        <v>476.23</v>
      </c>
      <c r="F161">
        <v>450.99</v>
      </c>
      <c r="G161">
        <v>284.22000000000003</v>
      </c>
      <c r="H161">
        <v>31.23</v>
      </c>
      <c r="I161" t="s">
        <v>13</v>
      </c>
      <c r="J161" s="1">
        <v>45103</v>
      </c>
      <c r="K161">
        <v>2023</v>
      </c>
    </row>
    <row r="162" spans="1:11" x14ac:dyDescent="0.25">
      <c r="A162">
        <v>178</v>
      </c>
      <c r="B162" t="s">
        <v>34</v>
      </c>
      <c r="C162" t="s">
        <v>19</v>
      </c>
      <c r="D162" s="6">
        <v>56.68</v>
      </c>
      <c r="E162">
        <v>519.22</v>
      </c>
      <c r="F162">
        <v>573.61</v>
      </c>
      <c r="G162">
        <v>250</v>
      </c>
      <c r="H162">
        <v>25.02</v>
      </c>
      <c r="I162" t="s">
        <v>13</v>
      </c>
      <c r="J162" s="1">
        <v>45104</v>
      </c>
      <c r="K162">
        <v>2023</v>
      </c>
    </row>
    <row r="163" spans="1:11" x14ac:dyDescent="0.25">
      <c r="A163">
        <v>179</v>
      </c>
      <c r="B163" t="s">
        <v>14</v>
      </c>
      <c r="C163" t="s">
        <v>12</v>
      </c>
      <c r="D163" s="6">
        <v>39.1</v>
      </c>
      <c r="E163">
        <v>598.09</v>
      </c>
      <c r="F163">
        <v>404.37</v>
      </c>
      <c r="G163">
        <v>284.87</v>
      </c>
      <c r="H163">
        <v>41.7</v>
      </c>
      <c r="I163" t="s">
        <v>13</v>
      </c>
      <c r="J163" s="1">
        <v>45105</v>
      </c>
      <c r="K163">
        <v>2023</v>
      </c>
    </row>
    <row r="164" spans="1:11" x14ac:dyDescent="0.25">
      <c r="A164">
        <v>180</v>
      </c>
      <c r="B164" t="s">
        <v>11</v>
      </c>
      <c r="C164" t="s">
        <v>19</v>
      </c>
      <c r="D164" s="6">
        <v>66.31</v>
      </c>
      <c r="E164">
        <v>425.78</v>
      </c>
      <c r="F164">
        <v>488.39</v>
      </c>
      <c r="G164">
        <v>165.96</v>
      </c>
      <c r="H164">
        <v>28.33</v>
      </c>
      <c r="I164" t="s">
        <v>18</v>
      </c>
      <c r="J164" s="1">
        <v>45106</v>
      </c>
      <c r="K164">
        <v>2023</v>
      </c>
    </row>
    <row r="165" spans="1:11" x14ac:dyDescent="0.25">
      <c r="A165">
        <v>181</v>
      </c>
      <c r="B165" t="s">
        <v>14</v>
      </c>
      <c r="C165" t="s">
        <v>15</v>
      </c>
      <c r="D165" s="6">
        <v>42.28</v>
      </c>
      <c r="E165">
        <v>283.83999999999997</v>
      </c>
      <c r="F165">
        <v>625.23</v>
      </c>
      <c r="G165">
        <v>206.81</v>
      </c>
      <c r="H165">
        <v>33.229999999999997</v>
      </c>
      <c r="I165" t="s">
        <v>34</v>
      </c>
      <c r="J165" s="1">
        <v>45107</v>
      </c>
      <c r="K165">
        <v>2023</v>
      </c>
    </row>
    <row r="166" spans="1:11" x14ac:dyDescent="0.25">
      <c r="A166">
        <v>182</v>
      </c>
      <c r="B166" t="s">
        <v>11</v>
      </c>
      <c r="C166" t="s">
        <v>19</v>
      </c>
      <c r="D166" s="6">
        <v>52.97</v>
      </c>
      <c r="E166">
        <v>525.55999999999995</v>
      </c>
      <c r="F166">
        <v>447.72</v>
      </c>
      <c r="G166">
        <v>68.97</v>
      </c>
      <c r="H166">
        <v>29.94</v>
      </c>
      <c r="I166" t="s">
        <v>34</v>
      </c>
      <c r="J166" s="1">
        <v>45108</v>
      </c>
      <c r="K166">
        <v>2023</v>
      </c>
    </row>
    <row r="167" spans="1:11" x14ac:dyDescent="0.25">
      <c r="A167">
        <v>183</v>
      </c>
      <c r="B167" t="s">
        <v>21</v>
      </c>
      <c r="C167" t="s">
        <v>15</v>
      </c>
      <c r="D167" s="6">
        <v>60.05</v>
      </c>
      <c r="E167">
        <v>598.87</v>
      </c>
      <c r="F167">
        <v>409.1</v>
      </c>
      <c r="G167">
        <v>185.91</v>
      </c>
      <c r="H167">
        <v>23.83</v>
      </c>
      <c r="I167" t="s">
        <v>34</v>
      </c>
      <c r="J167" s="1">
        <v>45109</v>
      </c>
      <c r="K167">
        <v>2023</v>
      </c>
    </row>
    <row r="168" spans="1:11" x14ac:dyDescent="0.25">
      <c r="A168">
        <v>184</v>
      </c>
      <c r="B168" t="s">
        <v>14</v>
      </c>
      <c r="C168" t="s">
        <v>19</v>
      </c>
      <c r="D168" s="6">
        <v>47.48</v>
      </c>
      <c r="E168">
        <v>364.86</v>
      </c>
      <c r="F168">
        <v>558.6</v>
      </c>
      <c r="G168">
        <v>204.92</v>
      </c>
      <c r="H168">
        <v>20.51</v>
      </c>
      <c r="I168" t="s">
        <v>18</v>
      </c>
      <c r="J168" s="1">
        <v>45110</v>
      </c>
      <c r="K168">
        <v>2023</v>
      </c>
    </row>
    <row r="169" spans="1:11" x14ac:dyDescent="0.25">
      <c r="A169">
        <v>185</v>
      </c>
      <c r="B169" t="s">
        <v>34</v>
      </c>
      <c r="C169" t="s">
        <v>15</v>
      </c>
      <c r="D169" s="6">
        <v>53.41</v>
      </c>
      <c r="E169">
        <v>567.02</v>
      </c>
      <c r="F169">
        <v>556.28</v>
      </c>
      <c r="G169">
        <v>207.7</v>
      </c>
      <c r="H169">
        <v>33.75</v>
      </c>
      <c r="I169" t="s">
        <v>22</v>
      </c>
      <c r="J169" s="1">
        <v>45111</v>
      </c>
      <c r="K169">
        <v>2023</v>
      </c>
    </row>
    <row r="170" spans="1:11" x14ac:dyDescent="0.25">
      <c r="A170">
        <v>186</v>
      </c>
      <c r="B170" t="s">
        <v>34</v>
      </c>
      <c r="C170" t="s">
        <v>20</v>
      </c>
      <c r="D170" s="6">
        <v>199.95</v>
      </c>
      <c r="E170">
        <v>567.70000000000005</v>
      </c>
      <c r="F170">
        <v>414.15</v>
      </c>
      <c r="G170">
        <v>197.88</v>
      </c>
      <c r="H170">
        <v>37.75</v>
      </c>
      <c r="I170" t="s">
        <v>22</v>
      </c>
      <c r="J170" s="1">
        <v>45112</v>
      </c>
      <c r="K170">
        <v>2023</v>
      </c>
    </row>
    <row r="171" spans="1:11" x14ac:dyDescent="0.25">
      <c r="A171">
        <v>188</v>
      </c>
      <c r="B171" t="s">
        <v>34</v>
      </c>
      <c r="C171" t="s">
        <v>34</v>
      </c>
      <c r="D171" s="6">
        <v>211.01</v>
      </c>
      <c r="E171">
        <v>406.37</v>
      </c>
      <c r="F171">
        <v>406.8</v>
      </c>
      <c r="G171">
        <v>64.34</v>
      </c>
      <c r="H171">
        <v>21.72</v>
      </c>
      <c r="I171" t="s">
        <v>22</v>
      </c>
      <c r="J171" s="1">
        <v>45114</v>
      </c>
      <c r="K171">
        <v>2023</v>
      </c>
    </row>
    <row r="172" spans="1:11" x14ac:dyDescent="0.25">
      <c r="A172">
        <v>189</v>
      </c>
      <c r="B172" t="s">
        <v>17</v>
      </c>
      <c r="C172" t="s">
        <v>16</v>
      </c>
      <c r="D172" s="6">
        <v>33.15</v>
      </c>
      <c r="E172">
        <v>460.42</v>
      </c>
      <c r="F172">
        <v>561.28</v>
      </c>
      <c r="G172">
        <v>212.81</v>
      </c>
      <c r="H172">
        <v>28.37</v>
      </c>
      <c r="I172" t="s">
        <v>22</v>
      </c>
      <c r="J172" s="1">
        <v>45115</v>
      </c>
      <c r="K172">
        <v>2023</v>
      </c>
    </row>
    <row r="173" spans="1:11" x14ac:dyDescent="0.25">
      <c r="A173">
        <v>190</v>
      </c>
      <c r="B173" t="s">
        <v>14</v>
      </c>
      <c r="C173" t="s">
        <v>34</v>
      </c>
      <c r="D173" s="6">
        <v>40.659999999999997</v>
      </c>
      <c r="E173">
        <v>482.04</v>
      </c>
      <c r="F173">
        <v>387</v>
      </c>
      <c r="G173">
        <v>224.17</v>
      </c>
      <c r="H173">
        <v>25.31</v>
      </c>
      <c r="I173" t="s">
        <v>34</v>
      </c>
    </row>
    <row r="174" spans="1:11" x14ac:dyDescent="0.25">
      <c r="A174">
        <v>191</v>
      </c>
      <c r="B174" t="s">
        <v>11</v>
      </c>
      <c r="C174" t="s">
        <v>12</v>
      </c>
      <c r="D174" s="6">
        <v>60.47</v>
      </c>
      <c r="E174">
        <v>425.69</v>
      </c>
      <c r="F174">
        <v>478.69</v>
      </c>
      <c r="G174">
        <v>266.89999999999998</v>
      </c>
      <c r="H174">
        <v>26.75</v>
      </c>
      <c r="I174" t="s">
        <v>13</v>
      </c>
      <c r="J174" s="1">
        <v>45117</v>
      </c>
      <c r="K174">
        <v>2023</v>
      </c>
    </row>
    <row r="175" spans="1:11" x14ac:dyDescent="0.25">
      <c r="A175">
        <v>192</v>
      </c>
      <c r="B175" t="s">
        <v>14</v>
      </c>
      <c r="C175" t="s">
        <v>19</v>
      </c>
      <c r="D175" s="6">
        <v>55.7</v>
      </c>
      <c r="E175">
        <v>420.3</v>
      </c>
      <c r="F175">
        <v>401.1</v>
      </c>
      <c r="G175">
        <v>218.44</v>
      </c>
      <c r="H175">
        <v>33.049999999999997</v>
      </c>
      <c r="I175" t="s">
        <v>22</v>
      </c>
      <c r="J175" s="1">
        <v>45118</v>
      </c>
      <c r="K175">
        <v>2023</v>
      </c>
    </row>
    <row r="176" spans="1:11" x14ac:dyDescent="0.25">
      <c r="A176">
        <v>193</v>
      </c>
      <c r="B176" t="s">
        <v>34</v>
      </c>
      <c r="C176" t="s">
        <v>16</v>
      </c>
      <c r="D176" s="6">
        <v>57.21</v>
      </c>
      <c r="E176">
        <v>667.15</v>
      </c>
      <c r="F176">
        <v>248.14</v>
      </c>
      <c r="G176">
        <v>193.46</v>
      </c>
      <c r="H176">
        <v>29.75</v>
      </c>
      <c r="I176" t="s">
        <v>22</v>
      </c>
      <c r="J176" s="1">
        <v>45119</v>
      </c>
      <c r="K176">
        <v>2023</v>
      </c>
    </row>
    <row r="177" spans="1:11" x14ac:dyDescent="0.25">
      <c r="A177">
        <v>194</v>
      </c>
      <c r="B177" t="s">
        <v>17</v>
      </c>
      <c r="C177" t="s">
        <v>12</v>
      </c>
      <c r="D177" s="6">
        <v>239.95</v>
      </c>
      <c r="E177">
        <v>489.24</v>
      </c>
      <c r="F177">
        <v>398.94</v>
      </c>
      <c r="G177">
        <v>255.25</v>
      </c>
      <c r="H177">
        <v>25.85</v>
      </c>
      <c r="I177" t="s">
        <v>18</v>
      </c>
      <c r="J177" s="1">
        <v>45120</v>
      </c>
      <c r="K177">
        <v>2023</v>
      </c>
    </row>
    <row r="178" spans="1:11" x14ac:dyDescent="0.25">
      <c r="A178">
        <v>195</v>
      </c>
      <c r="B178" t="s">
        <v>17</v>
      </c>
      <c r="C178" t="s">
        <v>12</v>
      </c>
      <c r="D178" s="6">
        <v>62.9</v>
      </c>
      <c r="E178">
        <v>430.5</v>
      </c>
      <c r="F178">
        <v>560.78</v>
      </c>
      <c r="G178">
        <v>82.13</v>
      </c>
      <c r="H178">
        <v>32.94</v>
      </c>
      <c r="I178" t="s">
        <v>13</v>
      </c>
      <c r="J178" s="1">
        <v>45121</v>
      </c>
      <c r="K178">
        <v>2023</v>
      </c>
    </row>
    <row r="179" spans="1:11" x14ac:dyDescent="0.25">
      <c r="A179">
        <v>196</v>
      </c>
      <c r="B179" t="s">
        <v>21</v>
      </c>
      <c r="C179" t="s">
        <v>15</v>
      </c>
      <c r="D179" s="6">
        <v>47.39</v>
      </c>
      <c r="E179">
        <v>495.88</v>
      </c>
      <c r="F179">
        <v>195.57</v>
      </c>
      <c r="G179">
        <v>174.25</v>
      </c>
      <c r="H179">
        <v>33.33</v>
      </c>
      <c r="I179" t="s">
        <v>18</v>
      </c>
      <c r="J179" s="1">
        <v>45122</v>
      </c>
      <c r="K179">
        <v>2023</v>
      </c>
    </row>
    <row r="180" spans="1:11" x14ac:dyDescent="0.25">
      <c r="A180">
        <v>197</v>
      </c>
      <c r="B180" t="s">
        <v>11</v>
      </c>
      <c r="C180" t="s">
        <v>34</v>
      </c>
      <c r="D180" s="6">
        <v>51.2</v>
      </c>
      <c r="E180">
        <v>553.71</v>
      </c>
      <c r="F180">
        <v>510.26</v>
      </c>
      <c r="G180">
        <v>161.71</v>
      </c>
      <c r="H180">
        <v>28.31</v>
      </c>
      <c r="I180" t="s">
        <v>34</v>
      </c>
      <c r="J180" s="1">
        <v>45123</v>
      </c>
      <c r="K180">
        <v>2023</v>
      </c>
    </row>
    <row r="181" spans="1:11" x14ac:dyDescent="0.25">
      <c r="A181">
        <v>198</v>
      </c>
      <c r="B181" t="s">
        <v>21</v>
      </c>
      <c r="C181" t="s">
        <v>20</v>
      </c>
      <c r="D181" s="6">
        <v>39.71</v>
      </c>
      <c r="E181">
        <v>505.16</v>
      </c>
      <c r="F181">
        <v>337.67</v>
      </c>
      <c r="G181">
        <v>198.27</v>
      </c>
      <c r="H181">
        <v>30.69</v>
      </c>
      <c r="I181" t="s">
        <v>13</v>
      </c>
      <c r="J181" s="1">
        <v>45124</v>
      </c>
      <c r="K181">
        <v>2023</v>
      </c>
    </row>
    <row r="182" spans="1:11" x14ac:dyDescent="0.25">
      <c r="A182">
        <v>199</v>
      </c>
      <c r="B182" t="s">
        <v>21</v>
      </c>
      <c r="C182" t="s">
        <v>20</v>
      </c>
      <c r="D182" s="6">
        <v>37.22</v>
      </c>
      <c r="E182">
        <v>479.43</v>
      </c>
      <c r="F182">
        <v>553.01</v>
      </c>
      <c r="G182">
        <v>90.07</v>
      </c>
      <c r="H182">
        <v>32.6</v>
      </c>
      <c r="I182" t="s">
        <v>13</v>
      </c>
      <c r="J182" s="1">
        <v>45125</v>
      </c>
      <c r="K182">
        <v>2023</v>
      </c>
    </row>
    <row r="183" spans="1:11" x14ac:dyDescent="0.25">
      <c r="A183">
        <v>200</v>
      </c>
      <c r="B183" t="s">
        <v>14</v>
      </c>
      <c r="C183" t="s">
        <v>16</v>
      </c>
      <c r="D183" s="6">
        <v>33.56</v>
      </c>
      <c r="E183">
        <v>435</v>
      </c>
      <c r="F183">
        <v>565.72</v>
      </c>
      <c r="G183">
        <v>265.98</v>
      </c>
      <c r="H183">
        <v>32.130000000000003</v>
      </c>
      <c r="I183" t="s">
        <v>18</v>
      </c>
      <c r="J183" s="1">
        <v>45126</v>
      </c>
      <c r="K183">
        <v>2023</v>
      </c>
    </row>
    <row r="184" spans="1:11" x14ac:dyDescent="0.25">
      <c r="A184">
        <v>201</v>
      </c>
      <c r="B184" t="s">
        <v>21</v>
      </c>
      <c r="C184" t="s">
        <v>20</v>
      </c>
      <c r="D184" s="6">
        <v>41.15</v>
      </c>
      <c r="E184">
        <v>433.79</v>
      </c>
      <c r="F184">
        <v>459.37</v>
      </c>
      <c r="G184">
        <v>187.51</v>
      </c>
      <c r="H184">
        <v>30.2</v>
      </c>
      <c r="I184" t="s">
        <v>22</v>
      </c>
      <c r="J184" s="1">
        <v>45127</v>
      </c>
      <c r="K184">
        <v>2023</v>
      </c>
    </row>
    <row r="185" spans="1:11" x14ac:dyDescent="0.25">
      <c r="A185">
        <v>202</v>
      </c>
      <c r="B185" t="s">
        <v>14</v>
      </c>
      <c r="C185" t="s">
        <v>19</v>
      </c>
      <c r="D185" s="6">
        <v>65.53</v>
      </c>
      <c r="E185">
        <v>440.22</v>
      </c>
      <c r="F185">
        <v>459.64</v>
      </c>
      <c r="G185">
        <v>215.94</v>
      </c>
      <c r="H185">
        <v>37.159999999999997</v>
      </c>
      <c r="I185" t="s">
        <v>22</v>
      </c>
      <c r="J185" s="1">
        <v>45128</v>
      </c>
      <c r="K185">
        <v>2023</v>
      </c>
    </row>
    <row r="186" spans="1:11" x14ac:dyDescent="0.25">
      <c r="A186">
        <v>203</v>
      </c>
      <c r="B186" t="s">
        <v>14</v>
      </c>
      <c r="C186" t="s">
        <v>20</v>
      </c>
      <c r="D186" s="6">
        <v>34.47</v>
      </c>
      <c r="E186">
        <v>533.88</v>
      </c>
      <c r="F186">
        <v>383.24</v>
      </c>
      <c r="G186">
        <v>211.15</v>
      </c>
      <c r="H186">
        <v>32.909999999999997</v>
      </c>
      <c r="I186" t="s">
        <v>13</v>
      </c>
      <c r="J186" s="1">
        <v>45129</v>
      </c>
      <c r="K186">
        <v>2023</v>
      </c>
    </row>
    <row r="187" spans="1:11" x14ac:dyDescent="0.25">
      <c r="A187">
        <v>204</v>
      </c>
      <c r="B187" t="s">
        <v>21</v>
      </c>
      <c r="C187" t="s">
        <v>16</v>
      </c>
      <c r="D187" s="6">
        <v>46.96</v>
      </c>
      <c r="E187">
        <v>400.58</v>
      </c>
      <c r="F187">
        <v>318.52999999999997</v>
      </c>
      <c r="G187">
        <v>263.12</v>
      </c>
      <c r="H187">
        <v>27.75</v>
      </c>
      <c r="I187" t="s">
        <v>22</v>
      </c>
      <c r="J187" s="1">
        <v>45130</v>
      </c>
      <c r="K187">
        <v>2023</v>
      </c>
    </row>
    <row r="188" spans="1:11" x14ac:dyDescent="0.25">
      <c r="A188">
        <v>205</v>
      </c>
      <c r="B188" t="s">
        <v>11</v>
      </c>
      <c r="C188" t="s">
        <v>20</v>
      </c>
      <c r="D188" s="6">
        <v>37.07</v>
      </c>
      <c r="E188">
        <v>539.33000000000004</v>
      </c>
      <c r="F188">
        <v>683.77</v>
      </c>
      <c r="G188">
        <v>106.9</v>
      </c>
      <c r="H188">
        <v>27.78</v>
      </c>
      <c r="I188" t="s">
        <v>18</v>
      </c>
      <c r="J188" s="1">
        <v>45131</v>
      </c>
      <c r="K188">
        <v>2023</v>
      </c>
    </row>
    <row r="189" spans="1:11" x14ac:dyDescent="0.25">
      <c r="A189">
        <v>206</v>
      </c>
      <c r="B189" t="s">
        <v>11</v>
      </c>
      <c r="C189" t="s">
        <v>19</v>
      </c>
      <c r="D189" s="6">
        <v>219.95</v>
      </c>
      <c r="E189">
        <v>2565.1999999999998</v>
      </c>
      <c r="F189">
        <v>376.19</v>
      </c>
      <c r="G189">
        <v>205.62</v>
      </c>
      <c r="H189">
        <v>27.21</v>
      </c>
      <c r="I189" t="s">
        <v>18</v>
      </c>
      <c r="J189" s="1">
        <v>45132</v>
      </c>
      <c r="K189">
        <v>2023</v>
      </c>
    </row>
    <row r="190" spans="1:11" x14ac:dyDescent="0.25">
      <c r="A190">
        <v>207</v>
      </c>
      <c r="B190" t="s">
        <v>11</v>
      </c>
      <c r="C190" t="s">
        <v>15</v>
      </c>
      <c r="D190" s="6">
        <v>51.7</v>
      </c>
      <c r="E190">
        <v>532.57000000000005</v>
      </c>
      <c r="F190">
        <v>668.14</v>
      </c>
      <c r="G190">
        <v>257.31</v>
      </c>
      <c r="H190">
        <v>33.159999999999997</v>
      </c>
      <c r="I190" t="s">
        <v>22</v>
      </c>
      <c r="J190" s="1">
        <v>45133</v>
      </c>
      <c r="K190">
        <v>2023</v>
      </c>
    </row>
    <row r="191" spans="1:11" x14ac:dyDescent="0.25">
      <c r="A191">
        <v>208</v>
      </c>
      <c r="B191" t="s">
        <v>11</v>
      </c>
      <c r="C191" t="s">
        <v>16</v>
      </c>
      <c r="D191" s="6">
        <v>43</v>
      </c>
      <c r="E191">
        <v>463.04</v>
      </c>
      <c r="F191">
        <v>376.86</v>
      </c>
      <c r="G191">
        <v>195.1</v>
      </c>
      <c r="H191">
        <v>26.89</v>
      </c>
      <c r="I191" t="s">
        <v>22</v>
      </c>
      <c r="J191" s="1">
        <v>45134</v>
      </c>
      <c r="K191">
        <v>2023</v>
      </c>
    </row>
    <row r="192" spans="1:11" x14ac:dyDescent="0.25">
      <c r="A192">
        <v>209</v>
      </c>
      <c r="B192" t="s">
        <v>11</v>
      </c>
      <c r="C192" t="s">
        <v>15</v>
      </c>
      <c r="D192" s="6">
        <v>60.9</v>
      </c>
      <c r="E192">
        <v>370.19</v>
      </c>
      <c r="F192">
        <v>543.02</v>
      </c>
      <c r="G192">
        <v>152.44</v>
      </c>
      <c r="H192">
        <v>27.88</v>
      </c>
      <c r="I192" t="s">
        <v>34</v>
      </c>
      <c r="J192" s="1">
        <v>45135</v>
      </c>
      <c r="K192">
        <v>2023</v>
      </c>
    </row>
    <row r="193" spans="1:11" x14ac:dyDescent="0.25">
      <c r="A193">
        <v>210</v>
      </c>
      <c r="B193" t="s">
        <v>21</v>
      </c>
      <c r="C193" t="s">
        <v>15</v>
      </c>
      <c r="D193" s="6">
        <v>65.34</v>
      </c>
      <c r="E193">
        <v>657.81</v>
      </c>
      <c r="F193">
        <v>343.46</v>
      </c>
      <c r="G193">
        <v>169.81</v>
      </c>
      <c r="H193">
        <v>35.29</v>
      </c>
      <c r="I193" t="s">
        <v>13</v>
      </c>
      <c r="J193" s="1">
        <v>45136</v>
      </c>
      <c r="K193">
        <v>2023</v>
      </c>
    </row>
    <row r="194" spans="1:11" x14ac:dyDescent="0.25">
      <c r="A194">
        <v>212</v>
      </c>
      <c r="B194" t="s">
        <v>17</v>
      </c>
      <c r="C194" t="s">
        <v>12</v>
      </c>
      <c r="D194" s="6">
        <v>43.17</v>
      </c>
      <c r="E194">
        <v>584.86</v>
      </c>
      <c r="F194">
        <v>440.93</v>
      </c>
      <c r="G194">
        <v>163.95</v>
      </c>
      <c r="H194">
        <v>35.99</v>
      </c>
      <c r="I194" t="s">
        <v>18</v>
      </c>
      <c r="J194" s="1">
        <v>45138</v>
      </c>
      <c r="K194">
        <v>2023</v>
      </c>
    </row>
    <row r="195" spans="1:11" x14ac:dyDescent="0.25">
      <c r="A195">
        <v>213</v>
      </c>
      <c r="B195" t="s">
        <v>21</v>
      </c>
      <c r="C195" t="s">
        <v>34</v>
      </c>
      <c r="D195" s="6">
        <v>50.59</v>
      </c>
      <c r="E195">
        <v>563.85</v>
      </c>
      <c r="F195">
        <v>442.5</v>
      </c>
      <c r="G195">
        <v>192.36</v>
      </c>
      <c r="H195">
        <v>33.99</v>
      </c>
      <c r="I195" t="s">
        <v>13</v>
      </c>
      <c r="J195" s="1">
        <v>45139</v>
      </c>
      <c r="K195">
        <v>2023</v>
      </c>
    </row>
    <row r="196" spans="1:11" x14ac:dyDescent="0.25">
      <c r="A196">
        <v>214</v>
      </c>
      <c r="B196" t="s">
        <v>34</v>
      </c>
      <c r="C196" t="s">
        <v>12</v>
      </c>
      <c r="D196" s="6">
        <v>61.26</v>
      </c>
      <c r="E196">
        <v>476.32</v>
      </c>
      <c r="F196">
        <v>553.20000000000005</v>
      </c>
      <c r="G196">
        <v>275.41000000000003</v>
      </c>
      <c r="H196">
        <v>24.12</v>
      </c>
      <c r="I196" t="s">
        <v>34</v>
      </c>
      <c r="J196" s="1">
        <v>45140</v>
      </c>
      <c r="K196">
        <v>2023</v>
      </c>
    </row>
    <row r="197" spans="1:11" x14ac:dyDescent="0.25">
      <c r="A197">
        <v>215</v>
      </c>
      <c r="B197" t="s">
        <v>11</v>
      </c>
      <c r="C197" t="s">
        <v>34</v>
      </c>
      <c r="D197" s="6">
        <v>45.46</v>
      </c>
      <c r="E197">
        <v>473.7</v>
      </c>
      <c r="F197">
        <v>423.7</v>
      </c>
      <c r="G197">
        <v>170.13</v>
      </c>
      <c r="H197">
        <v>29.49</v>
      </c>
      <c r="I197" t="s">
        <v>34</v>
      </c>
      <c r="J197" s="1">
        <v>45141</v>
      </c>
      <c r="K197">
        <v>2023</v>
      </c>
    </row>
    <row r="198" spans="1:11" x14ac:dyDescent="0.25">
      <c r="A198">
        <v>216</v>
      </c>
      <c r="B198" t="s">
        <v>14</v>
      </c>
      <c r="C198" t="s">
        <v>15</v>
      </c>
      <c r="D198" s="6">
        <v>49.8</v>
      </c>
      <c r="E198">
        <v>316.43</v>
      </c>
      <c r="F198">
        <v>308.62</v>
      </c>
      <c r="G198">
        <v>175.62</v>
      </c>
      <c r="H198">
        <v>34.950000000000003</v>
      </c>
      <c r="I198" t="s">
        <v>34</v>
      </c>
      <c r="J198" s="1">
        <v>45142</v>
      </c>
      <c r="K198">
        <v>2023</v>
      </c>
    </row>
    <row r="199" spans="1:11" x14ac:dyDescent="0.25">
      <c r="A199">
        <v>217</v>
      </c>
      <c r="B199" t="s">
        <v>34</v>
      </c>
      <c r="C199" t="s">
        <v>16</v>
      </c>
      <c r="D199" s="6">
        <v>38.43</v>
      </c>
      <c r="E199">
        <v>533.01</v>
      </c>
      <c r="F199">
        <v>571.36</v>
      </c>
      <c r="G199">
        <v>222.99</v>
      </c>
      <c r="H199">
        <v>23.89</v>
      </c>
      <c r="I199" t="s">
        <v>34</v>
      </c>
      <c r="J199" s="1">
        <v>45143</v>
      </c>
      <c r="K199">
        <v>2023</v>
      </c>
    </row>
    <row r="200" spans="1:11" x14ac:dyDescent="0.25">
      <c r="A200">
        <v>218</v>
      </c>
      <c r="B200" t="s">
        <v>21</v>
      </c>
      <c r="C200" t="s">
        <v>34</v>
      </c>
      <c r="D200" s="6">
        <v>34.67</v>
      </c>
      <c r="E200">
        <v>561.99</v>
      </c>
      <c r="F200">
        <v>342.49</v>
      </c>
      <c r="G200">
        <v>191.26</v>
      </c>
      <c r="H200">
        <v>32.1</v>
      </c>
      <c r="I200" t="s">
        <v>22</v>
      </c>
      <c r="J200" s="1">
        <v>45144</v>
      </c>
      <c r="K200">
        <v>2023</v>
      </c>
    </row>
    <row r="201" spans="1:11" x14ac:dyDescent="0.25">
      <c r="A201">
        <v>220</v>
      </c>
      <c r="B201" t="s">
        <v>14</v>
      </c>
      <c r="C201" t="s">
        <v>19</v>
      </c>
      <c r="D201" s="6">
        <v>31.76</v>
      </c>
      <c r="E201">
        <v>484.42</v>
      </c>
      <c r="F201">
        <v>596.76</v>
      </c>
      <c r="G201">
        <v>196.94</v>
      </c>
      <c r="H201">
        <v>21.23</v>
      </c>
      <c r="I201" t="s">
        <v>13</v>
      </c>
      <c r="J201" s="1">
        <v>45146</v>
      </c>
      <c r="K201">
        <v>2023</v>
      </c>
    </row>
    <row r="202" spans="1:11" x14ac:dyDescent="0.25">
      <c r="A202">
        <v>223</v>
      </c>
      <c r="B202" t="s">
        <v>21</v>
      </c>
      <c r="C202" t="s">
        <v>16</v>
      </c>
      <c r="D202" s="6">
        <v>80.66</v>
      </c>
      <c r="E202">
        <v>500.38</v>
      </c>
      <c r="F202">
        <v>537.80999999999995</v>
      </c>
      <c r="G202">
        <v>151.38999999999999</v>
      </c>
      <c r="H202">
        <v>24.16</v>
      </c>
      <c r="I202" t="s">
        <v>22</v>
      </c>
      <c r="J202" s="1">
        <v>45149</v>
      </c>
      <c r="K202">
        <v>2023</v>
      </c>
    </row>
    <row r="203" spans="1:11" x14ac:dyDescent="0.25">
      <c r="A203">
        <v>224</v>
      </c>
      <c r="B203" t="s">
        <v>14</v>
      </c>
      <c r="C203" t="s">
        <v>12</v>
      </c>
      <c r="D203" s="6">
        <v>55.75</v>
      </c>
      <c r="E203">
        <v>337.37</v>
      </c>
      <c r="F203">
        <v>396.5</v>
      </c>
      <c r="G203">
        <v>249.12</v>
      </c>
      <c r="H203">
        <v>30.05</v>
      </c>
      <c r="I203" t="s">
        <v>18</v>
      </c>
      <c r="J203" s="1">
        <v>45150</v>
      </c>
      <c r="K203">
        <v>2023</v>
      </c>
    </row>
    <row r="204" spans="1:11" x14ac:dyDescent="0.25">
      <c r="A204">
        <v>225</v>
      </c>
      <c r="B204" t="s">
        <v>11</v>
      </c>
      <c r="C204" t="s">
        <v>15</v>
      </c>
      <c r="D204" s="6">
        <v>47.47</v>
      </c>
      <c r="E204">
        <v>447.01</v>
      </c>
      <c r="F204">
        <v>648.16999999999996</v>
      </c>
      <c r="G204">
        <v>195.11</v>
      </c>
      <c r="H204">
        <v>20.350000000000001</v>
      </c>
      <c r="I204" t="s">
        <v>34</v>
      </c>
      <c r="J204" s="1">
        <v>45151</v>
      </c>
      <c r="K204">
        <v>2023</v>
      </c>
    </row>
    <row r="205" spans="1:11" x14ac:dyDescent="0.25">
      <c r="A205">
        <v>226</v>
      </c>
      <c r="B205" t="s">
        <v>14</v>
      </c>
      <c r="C205" t="s">
        <v>20</v>
      </c>
      <c r="D205" s="6">
        <v>53.92</v>
      </c>
      <c r="E205">
        <v>522.46</v>
      </c>
      <c r="F205">
        <v>343</v>
      </c>
      <c r="G205">
        <v>144.6</v>
      </c>
      <c r="H205">
        <v>26.63</v>
      </c>
      <c r="I205" t="s">
        <v>34</v>
      </c>
      <c r="J205" s="1">
        <v>45152</v>
      </c>
      <c r="K205">
        <v>2023</v>
      </c>
    </row>
    <row r="206" spans="1:11" x14ac:dyDescent="0.25">
      <c r="A206">
        <v>227</v>
      </c>
      <c r="B206" t="s">
        <v>14</v>
      </c>
      <c r="C206" t="s">
        <v>19</v>
      </c>
      <c r="D206" s="6">
        <v>48.11</v>
      </c>
      <c r="E206">
        <v>584.15</v>
      </c>
      <c r="F206">
        <v>434.8</v>
      </c>
      <c r="G206">
        <v>134.56</v>
      </c>
      <c r="H206">
        <v>42.76</v>
      </c>
      <c r="I206" t="s">
        <v>13</v>
      </c>
      <c r="J206" s="1">
        <v>45153</v>
      </c>
      <c r="K206">
        <v>2023</v>
      </c>
    </row>
    <row r="207" spans="1:11" x14ac:dyDescent="0.25">
      <c r="A207">
        <v>228</v>
      </c>
      <c r="B207" t="s">
        <v>17</v>
      </c>
      <c r="C207" t="s">
        <v>12</v>
      </c>
      <c r="D207" s="6">
        <v>55.53</v>
      </c>
      <c r="E207">
        <v>438.24</v>
      </c>
      <c r="F207">
        <v>455.24</v>
      </c>
      <c r="G207">
        <v>296.72000000000003</v>
      </c>
      <c r="H207">
        <v>33.25</v>
      </c>
      <c r="I207" t="s">
        <v>13</v>
      </c>
      <c r="J207" s="1">
        <v>45154</v>
      </c>
      <c r="K207">
        <v>2023</v>
      </c>
    </row>
    <row r="208" spans="1:11" x14ac:dyDescent="0.25">
      <c r="A208">
        <v>229</v>
      </c>
      <c r="B208" t="s">
        <v>34</v>
      </c>
      <c r="C208" t="s">
        <v>12</v>
      </c>
      <c r="D208" s="6">
        <v>49.66</v>
      </c>
      <c r="E208">
        <v>718.76</v>
      </c>
      <c r="F208">
        <v>552.63</v>
      </c>
      <c r="G208">
        <v>192</v>
      </c>
      <c r="H208">
        <v>25.59</v>
      </c>
      <c r="I208" t="s">
        <v>34</v>
      </c>
      <c r="J208" s="1">
        <v>45155</v>
      </c>
      <c r="K208">
        <v>2023</v>
      </c>
    </row>
    <row r="209" spans="1:11" x14ac:dyDescent="0.25">
      <c r="A209">
        <v>230</v>
      </c>
      <c r="B209" t="s">
        <v>21</v>
      </c>
      <c r="C209" t="s">
        <v>15</v>
      </c>
      <c r="D209" s="6">
        <v>40.5</v>
      </c>
      <c r="E209">
        <v>310.55</v>
      </c>
      <c r="F209">
        <v>613.85</v>
      </c>
      <c r="G209">
        <v>246.83</v>
      </c>
      <c r="H209">
        <v>37.020000000000003</v>
      </c>
      <c r="I209" t="s">
        <v>22</v>
      </c>
      <c r="J209" s="1">
        <v>45156</v>
      </c>
      <c r="K209">
        <v>2023</v>
      </c>
    </row>
    <row r="210" spans="1:11" x14ac:dyDescent="0.25">
      <c r="A210">
        <v>231</v>
      </c>
      <c r="B210" t="s">
        <v>17</v>
      </c>
      <c r="C210" t="s">
        <v>34</v>
      </c>
      <c r="D210" s="6">
        <v>41.29</v>
      </c>
      <c r="E210">
        <v>443.63</v>
      </c>
      <c r="F210">
        <v>606.33000000000004</v>
      </c>
      <c r="G210">
        <v>114.59</v>
      </c>
      <c r="H210">
        <v>25.04</v>
      </c>
      <c r="I210" t="s">
        <v>13</v>
      </c>
      <c r="J210" s="1">
        <v>45157</v>
      </c>
      <c r="K210">
        <v>2023</v>
      </c>
    </row>
    <row r="211" spans="1:11" x14ac:dyDescent="0.25">
      <c r="A211">
        <v>232</v>
      </c>
      <c r="B211" t="s">
        <v>14</v>
      </c>
      <c r="C211" t="s">
        <v>19</v>
      </c>
      <c r="D211" s="6">
        <v>40.159999999999997</v>
      </c>
      <c r="E211">
        <v>491.7</v>
      </c>
      <c r="F211">
        <v>506.85</v>
      </c>
      <c r="G211">
        <v>331.88</v>
      </c>
      <c r="H211">
        <v>27.23</v>
      </c>
      <c r="I211" t="s">
        <v>13</v>
      </c>
      <c r="J211" s="1">
        <v>45158</v>
      </c>
      <c r="K211">
        <v>2023</v>
      </c>
    </row>
    <row r="212" spans="1:11" x14ac:dyDescent="0.25">
      <c r="A212">
        <v>233</v>
      </c>
      <c r="B212" t="s">
        <v>21</v>
      </c>
      <c r="C212" t="s">
        <v>16</v>
      </c>
      <c r="D212" s="6">
        <v>59.71</v>
      </c>
      <c r="E212">
        <v>479.93</v>
      </c>
      <c r="F212">
        <v>446.37</v>
      </c>
      <c r="G212">
        <v>244.66</v>
      </c>
      <c r="H212">
        <v>24.26</v>
      </c>
      <c r="I212" t="s">
        <v>34</v>
      </c>
      <c r="J212" s="1">
        <v>45159</v>
      </c>
      <c r="K212">
        <v>2023</v>
      </c>
    </row>
    <row r="213" spans="1:11" x14ac:dyDescent="0.25">
      <c r="A213">
        <v>234</v>
      </c>
      <c r="B213" t="s">
        <v>14</v>
      </c>
      <c r="C213" t="s">
        <v>12</v>
      </c>
      <c r="D213" s="6">
        <v>43.83</v>
      </c>
      <c r="E213">
        <v>376.79</v>
      </c>
      <c r="F213">
        <v>260.88</v>
      </c>
      <c r="G213">
        <v>187.23</v>
      </c>
      <c r="H213">
        <v>31.28</v>
      </c>
      <c r="I213" t="s">
        <v>34</v>
      </c>
      <c r="J213" s="1">
        <v>45160</v>
      </c>
      <c r="K213">
        <v>2023</v>
      </c>
    </row>
    <row r="214" spans="1:11" x14ac:dyDescent="0.25">
      <c r="A214">
        <v>235</v>
      </c>
      <c r="B214" t="s">
        <v>14</v>
      </c>
      <c r="C214" t="s">
        <v>15</v>
      </c>
      <c r="D214" s="6">
        <v>30.88</v>
      </c>
      <c r="E214">
        <v>544.79</v>
      </c>
      <c r="F214">
        <v>322.3</v>
      </c>
      <c r="G214">
        <v>184.69</v>
      </c>
      <c r="H214">
        <v>36.840000000000003</v>
      </c>
      <c r="I214" t="s">
        <v>34</v>
      </c>
      <c r="J214" s="1">
        <v>45161</v>
      </c>
      <c r="K214">
        <v>2023</v>
      </c>
    </row>
    <row r="215" spans="1:11" x14ac:dyDescent="0.25">
      <c r="A215">
        <v>236</v>
      </c>
      <c r="B215" t="s">
        <v>17</v>
      </c>
      <c r="C215" t="s">
        <v>16</v>
      </c>
      <c r="D215" s="6">
        <v>53.97</v>
      </c>
      <c r="E215">
        <v>537.11</v>
      </c>
      <c r="F215">
        <v>692</v>
      </c>
      <c r="G215">
        <v>236.73</v>
      </c>
      <c r="H215">
        <v>25</v>
      </c>
      <c r="I215" t="s">
        <v>22</v>
      </c>
      <c r="J215" s="1">
        <v>45162</v>
      </c>
      <c r="K215">
        <v>2023</v>
      </c>
    </row>
    <row r="216" spans="1:11" x14ac:dyDescent="0.25">
      <c r="A216">
        <v>237</v>
      </c>
      <c r="B216" t="s">
        <v>21</v>
      </c>
      <c r="C216" t="s">
        <v>34</v>
      </c>
      <c r="D216" s="6">
        <v>65.150000000000006</v>
      </c>
      <c r="E216">
        <v>504.8</v>
      </c>
      <c r="F216">
        <v>259.67</v>
      </c>
      <c r="G216">
        <v>233.86</v>
      </c>
      <c r="H216">
        <v>19.7</v>
      </c>
      <c r="I216" t="s">
        <v>13</v>
      </c>
      <c r="J216" s="1">
        <v>45163</v>
      </c>
      <c r="K216">
        <v>2023</v>
      </c>
    </row>
    <row r="217" spans="1:11" x14ac:dyDescent="0.25">
      <c r="A217">
        <v>238</v>
      </c>
      <c r="B217" t="s">
        <v>11</v>
      </c>
      <c r="C217" t="s">
        <v>19</v>
      </c>
      <c r="D217" s="6">
        <v>57.73</v>
      </c>
      <c r="E217">
        <v>533.17999999999995</v>
      </c>
      <c r="F217">
        <v>385.86</v>
      </c>
      <c r="G217">
        <v>209.13</v>
      </c>
      <c r="H217">
        <v>35.450000000000003</v>
      </c>
      <c r="I217" t="s">
        <v>13</v>
      </c>
      <c r="J217" s="1">
        <v>45164</v>
      </c>
      <c r="K217">
        <v>2023</v>
      </c>
    </row>
    <row r="218" spans="1:11" x14ac:dyDescent="0.25">
      <c r="A218">
        <v>239</v>
      </c>
      <c r="B218" t="s">
        <v>34</v>
      </c>
      <c r="C218" t="s">
        <v>34</v>
      </c>
      <c r="D218" s="6">
        <v>43.97</v>
      </c>
      <c r="E218">
        <v>457.62</v>
      </c>
      <c r="F218">
        <v>617.35</v>
      </c>
      <c r="G218">
        <v>200.54</v>
      </c>
      <c r="H218">
        <v>37.770000000000003</v>
      </c>
      <c r="I218" t="s">
        <v>22</v>
      </c>
      <c r="J218" s="1">
        <v>45165</v>
      </c>
      <c r="K218">
        <v>2023</v>
      </c>
    </row>
    <row r="219" spans="1:11" x14ac:dyDescent="0.25">
      <c r="A219">
        <v>240</v>
      </c>
      <c r="B219" t="s">
        <v>17</v>
      </c>
      <c r="C219" t="s">
        <v>12</v>
      </c>
      <c r="D219" s="6">
        <v>34.130000000000003</v>
      </c>
      <c r="E219">
        <v>338.26</v>
      </c>
      <c r="F219">
        <v>505.17</v>
      </c>
      <c r="G219">
        <v>228.05</v>
      </c>
      <c r="H219">
        <v>20.02</v>
      </c>
      <c r="I219" t="s">
        <v>18</v>
      </c>
      <c r="J219" s="1">
        <v>45166</v>
      </c>
      <c r="K219">
        <v>2023</v>
      </c>
    </row>
    <row r="220" spans="1:11" x14ac:dyDescent="0.25">
      <c r="A220">
        <v>241</v>
      </c>
      <c r="B220" t="s">
        <v>21</v>
      </c>
      <c r="C220" t="s">
        <v>16</v>
      </c>
      <c r="D220" s="6">
        <v>48.66</v>
      </c>
      <c r="E220">
        <v>428.34</v>
      </c>
      <c r="F220">
        <v>591.37</v>
      </c>
      <c r="G220">
        <v>112.91</v>
      </c>
      <c r="H220">
        <v>32.299999999999997</v>
      </c>
      <c r="I220" t="s">
        <v>34</v>
      </c>
      <c r="J220" s="1">
        <v>45167</v>
      </c>
      <c r="K220">
        <v>2023</v>
      </c>
    </row>
    <row r="221" spans="1:11" x14ac:dyDescent="0.25">
      <c r="A221">
        <v>242</v>
      </c>
      <c r="B221" t="s">
        <v>14</v>
      </c>
      <c r="C221" t="s">
        <v>16</v>
      </c>
      <c r="D221" s="6">
        <v>48.41</v>
      </c>
      <c r="E221">
        <v>515.71</v>
      </c>
      <c r="F221">
        <v>545.14</v>
      </c>
      <c r="G221">
        <v>181.44</v>
      </c>
      <c r="H221">
        <v>31.13</v>
      </c>
      <c r="I221" t="s">
        <v>13</v>
      </c>
      <c r="J221" s="1">
        <v>45168</v>
      </c>
      <c r="K221">
        <v>2023</v>
      </c>
    </row>
    <row r="222" spans="1:11" x14ac:dyDescent="0.25">
      <c r="A222">
        <v>243</v>
      </c>
      <c r="B222" t="s">
        <v>11</v>
      </c>
      <c r="C222" t="s">
        <v>16</v>
      </c>
      <c r="D222" s="6">
        <v>36.93</v>
      </c>
      <c r="E222">
        <v>516.27</v>
      </c>
      <c r="F222">
        <v>656.35</v>
      </c>
      <c r="G222">
        <v>117.66</v>
      </c>
      <c r="H222">
        <v>26.06</v>
      </c>
      <c r="I222" t="s">
        <v>22</v>
      </c>
      <c r="J222" s="1">
        <v>45169</v>
      </c>
      <c r="K222">
        <v>2023</v>
      </c>
    </row>
    <row r="223" spans="1:11" x14ac:dyDescent="0.25">
      <c r="A223">
        <v>245</v>
      </c>
      <c r="B223" t="s">
        <v>21</v>
      </c>
      <c r="C223" t="s">
        <v>12</v>
      </c>
      <c r="D223" s="6">
        <v>68.47</v>
      </c>
      <c r="E223">
        <v>554.87</v>
      </c>
      <c r="F223">
        <v>559.61</v>
      </c>
      <c r="G223">
        <v>166.21</v>
      </c>
      <c r="H223">
        <v>34.96</v>
      </c>
      <c r="I223" t="s">
        <v>22</v>
      </c>
      <c r="J223" s="1">
        <v>45171</v>
      </c>
      <c r="K223">
        <v>2023</v>
      </c>
    </row>
    <row r="224" spans="1:11" x14ac:dyDescent="0.25">
      <c r="A224">
        <v>246</v>
      </c>
      <c r="B224" t="s">
        <v>14</v>
      </c>
      <c r="C224" t="s">
        <v>34</v>
      </c>
      <c r="D224" s="6">
        <v>52.22</v>
      </c>
      <c r="E224">
        <v>441.89</v>
      </c>
      <c r="F224">
        <v>393.09</v>
      </c>
      <c r="G224">
        <v>121.42</v>
      </c>
      <c r="H224">
        <v>30.9</v>
      </c>
      <c r="I224" t="s">
        <v>22</v>
      </c>
      <c r="J224" s="1">
        <v>45172</v>
      </c>
      <c r="K224">
        <v>2023</v>
      </c>
    </row>
    <row r="225" spans="1:11" x14ac:dyDescent="0.25">
      <c r="A225">
        <v>247</v>
      </c>
      <c r="B225" t="s">
        <v>21</v>
      </c>
      <c r="C225" t="s">
        <v>20</v>
      </c>
      <c r="D225" s="6">
        <v>51.6</v>
      </c>
      <c r="E225">
        <v>502.67</v>
      </c>
      <c r="F225">
        <v>550.36</v>
      </c>
      <c r="G225">
        <v>160.31</v>
      </c>
      <c r="H225">
        <v>31.27</v>
      </c>
      <c r="I225" t="s">
        <v>13</v>
      </c>
      <c r="J225" s="1">
        <v>45173</v>
      </c>
      <c r="K225">
        <v>2023</v>
      </c>
    </row>
    <row r="226" spans="1:11" x14ac:dyDescent="0.25">
      <c r="A226">
        <v>248</v>
      </c>
      <c r="B226" t="s">
        <v>11</v>
      </c>
      <c r="C226" t="s">
        <v>34</v>
      </c>
      <c r="D226" s="6">
        <v>40.630000000000003</v>
      </c>
      <c r="E226">
        <v>557.21</v>
      </c>
      <c r="F226">
        <v>432.46</v>
      </c>
      <c r="G226">
        <v>207.47</v>
      </c>
      <c r="H226">
        <v>26.89</v>
      </c>
      <c r="I226" t="s">
        <v>13</v>
      </c>
      <c r="J226" s="1">
        <v>45174</v>
      </c>
      <c r="K226">
        <v>2023</v>
      </c>
    </row>
    <row r="227" spans="1:11" x14ac:dyDescent="0.25">
      <c r="A227">
        <v>249</v>
      </c>
      <c r="B227" t="s">
        <v>11</v>
      </c>
      <c r="C227" t="s">
        <v>19</v>
      </c>
      <c r="D227" s="6">
        <v>63.97</v>
      </c>
      <c r="E227">
        <v>491.51</v>
      </c>
      <c r="F227">
        <v>425.63</v>
      </c>
      <c r="G227">
        <v>189.74</v>
      </c>
      <c r="H227">
        <v>25.99</v>
      </c>
      <c r="I227" t="s">
        <v>22</v>
      </c>
      <c r="J227" s="1">
        <v>45175</v>
      </c>
      <c r="K227">
        <v>2023</v>
      </c>
    </row>
    <row r="228" spans="1:11" x14ac:dyDescent="0.25">
      <c r="A228">
        <v>250</v>
      </c>
      <c r="B228" t="s">
        <v>21</v>
      </c>
      <c r="C228" t="s">
        <v>15</v>
      </c>
      <c r="D228" s="6">
        <v>49.25</v>
      </c>
      <c r="E228">
        <v>375.67</v>
      </c>
      <c r="F228">
        <v>587.37</v>
      </c>
      <c r="G228">
        <v>141.34</v>
      </c>
      <c r="H228">
        <v>17.73</v>
      </c>
      <c r="I228" t="s">
        <v>18</v>
      </c>
      <c r="J228" s="1">
        <v>45176</v>
      </c>
      <c r="K228">
        <v>2023</v>
      </c>
    </row>
    <row r="229" spans="1:11" x14ac:dyDescent="0.25">
      <c r="A229">
        <v>251</v>
      </c>
      <c r="B229" t="s">
        <v>34</v>
      </c>
      <c r="C229" t="s">
        <v>16</v>
      </c>
      <c r="D229" s="6">
        <v>44.21</v>
      </c>
      <c r="E229">
        <v>403.85</v>
      </c>
      <c r="F229">
        <v>588.19000000000005</v>
      </c>
      <c r="G229">
        <v>114.76</v>
      </c>
      <c r="H229">
        <v>28.86</v>
      </c>
      <c r="I229" t="s">
        <v>13</v>
      </c>
      <c r="J229" s="1">
        <v>45177</v>
      </c>
      <c r="K229">
        <v>2023</v>
      </c>
    </row>
    <row r="230" spans="1:11" x14ac:dyDescent="0.25">
      <c r="A230">
        <v>252</v>
      </c>
      <c r="B230" t="s">
        <v>21</v>
      </c>
      <c r="C230" t="s">
        <v>20</v>
      </c>
      <c r="D230" s="6">
        <v>50.64</v>
      </c>
      <c r="E230">
        <v>583.09</v>
      </c>
      <c r="F230">
        <v>682.61</v>
      </c>
      <c r="G230">
        <v>203.7</v>
      </c>
      <c r="H230">
        <v>37.19</v>
      </c>
      <c r="I230" t="s">
        <v>13</v>
      </c>
      <c r="J230" s="1">
        <v>45178</v>
      </c>
      <c r="K230">
        <v>2023</v>
      </c>
    </row>
    <row r="231" spans="1:11" x14ac:dyDescent="0.25">
      <c r="A231">
        <v>253</v>
      </c>
      <c r="B231" t="s">
        <v>17</v>
      </c>
      <c r="C231" t="s">
        <v>15</v>
      </c>
      <c r="D231" s="6">
        <v>54.72</v>
      </c>
      <c r="E231">
        <v>639.25</v>
      </c>
      <c r="F231">
        <v>674.79</v>
      </c>
      <c r="G231">
        <v>170.96</v>
      </c>
      <c r="H231">
        <v>25.55</v>
      </c>
      <c r="I231" t="s">
        <v>34</v>
      </c>
      <c r="J231" s="1">
        <v>45179</v>
      </c>
      <c r="K231">
        <v>2023</v>
      </c>
    </row>
    <row r="232" spans="1:11" x14ac:dyDescent="0.25">
      <c r="A232">
        <v>254</v>
      </c>
      <c r="B232" t="s">
        <v>14</v>
      </c>
      <c r="C232" t="s">
        <v>20</v>
      </c>
      <c r="D232" s="6">
        <v>51.39</v>
      </c>
      <c r="E232">
        <v>617.53</v>
      </c>
      <c r="F232">
        <v>590.08000000000004</v>
      </c>
      <c r="G232">
        <v>187.1</v>
      </c>
      <c r="H232">
        <v>22.39</v>
      </c>
      <c r="I232" t="s">
        <v>34</v>
      </c>
      <c r="J232" s="1">
        <v>45180</v>
      </c>
      <c r="K232">
        <v>2023</v>
      </c>
    </row>
    <row r="233" spans="1:11" x14ac:dyDescent="0.25">
      <c r="A233">
        <v>255</v>
      </c>
      <c r="B233" t="s">
        <v>14</v>
      </c>
      <c r="C233" t="s">
        <v>34</v>
      </c>
      <c r="D233" s="6">
        <v>62.06</v>
      </c>
      <c r="E233">
        <v>523.22</v>
      </c>
      <c r="F233">
        <v>273.55</v>
      </c>
      <c r="G233">
        <v>192.02</v>
      </c>
      <c r="H233">
        <v>32.18</v>
      </c>
      <c r="I233" t="s">
        <v>13</v>
      </c>
      <c r="J233" s="1">
        <v>45181</v>
      </c>
      <c r="K233">
        <v>2023</v>
      </c>
    </row>
    <row r="234" spans="1:11" x14ac:dyDescent="0.25">
      <c r="A234">
        <v>256</v>
      </c>
      <c r="B234" t="s">
        <v>14</v>
      </c>
      <c r="C234" t="s">
        <v>12</v>
      </c>
      <c r="D234" s="6">
        <v>53.84</v>
      </c>
      <c r="E234">
        <v>379.69</v>
      </c>
      <c r="F234">
        <v>699.32</v>
      </c>
      <c r="G234">
        <v>221.5</v>
      </c>
      <c r="H234">
        <v>33.1</v>
      </c>
      <c r="I234" t="s">
        <v>22</v>
      </c>
      <c r="J234" s="1">
        <v>45182</v>
      </c>
      <c r="K234">
        <v>2023</v>
      </c>
    </row>
    <row r="235" spans="1:11" x14ac:dyDescent="0.25">
      <c r="A235">
        <v>257</v>
      </c>
      <c r="B235" t="s">
        <v>34</v>
      </c>
      <c r="C235" t="s">
        <v>16</v>
      </c>
      <c r="D235" s="6">
        <v>47.16</v>
      </c>
      <c r="E235">
        <v>499.36</v>
      </c>
      <c r="F235">
        <v>590.16</v>
      </c>
      <c r="G235">
        <v>242.35</v>
      </c>
      <c r="H235">
        <v>27.07</v>
      </c>
      <c r="I235" t="s">
        <v>22</v>
      </c>
      <c r="J235" s="1">
        <v>45183</v>
      </c>
      <c r="K235">
        <v>2023</v>
      </c>
    </row>
    <row r="236" spans="1:11" x14ac:dyDescent="0.25">
      <c r="A236">
        <v>258</v>
      </c>
      <c r="B236" t="s">
        <v>17</v>
      </c>
      <c r="C236" t="s">
        <v>34</v>
      </c>
      <c r="D236" s="6">
        <v>54.01</v>
      </c>
      <c r="E236">
        <v>656.23</v>
      </c>
      <c r="F236">
        <v>388.1</v>
      </c>
      <c r="G236">
        <v>207.33</v>
      </c>
      <c r="H236">
        <v>28.26</v>
      </c>
      <c r="I236" t="s">
        <v>13</v>
      </c>
      <c r="J236" s="1">
        <v>45184</v>
      </c>
      <c r="K236">
        <v>2023</v>
      </c>
    </row>
    <row r="237" spans="1:11" x14ac:dyDescent="0.25">
      <c r="A237">
        <v>259</v>
      </c>
      <c r="B237" t="s">
        <v>14</v>
      </c>
      <c r="C237" t="s">
        <v>15</v>
      </c>
      <c r="D237" s="6">
        <v>55</v>
      </c>
      <c r="E237">
        <v>561.85</v>
      </c>
      <c r="F237">
        <v>567.47</v>
      </c>
      <c r="G237">
        <v>183.98</v>
      </c>
      <c r="H237">
        <v>31.32</v>
      </c>
      <c r="I237" t="s">
        <v>13</v>
      </c>
      <c r="J237" s="1">
        <v>45185</v>
      </c>
      <c r="K237">
        <v>2023</v>
      </c>
    </row>
    <row r="238" spans="1:11" x14ac:dyDescent="0.25">
      <c r="A238">
        <v>260</v>
      </c>
      <c r="B238" t="s">
        <v>21</v>
      </c>
      <c r="C238" t="s">
        <v>15</v>
      </c>
      <c r="D238" s="6">
        <v>37.04</v>
      </c>
      <c r="E238">
        <v>479.25</v>
      </c>
      <c r="F238">
        <v>355.53</v>
      </c>
      <c r="G238">
        <v>201.24</v>
      </c>
      <c r="H238">
        <v>29.22</v>
      </c>
      <c r="I238" t="s">
        <v>34</v>
      </c>
      <c r="J238" s="1">
        <v>45186</v>
      </c>
      <c r="K238">
        <v>2023</v>
      </c>
    </row>
    <row r="239" spans="1:11" x14ac:dyDescent="0.25">
      <c r="A239">
        <v>261</v>
      </c>
      <c r="B239" t="s">
        <v>21</v>
      </c>
      <c r="C239" t="s">
        <v>15</v>
      </c>
      <c r="D239" s="6">
        <v>61.49</v>
      </c>
      <c r="E239">
        <v>562.86</v>
      </c>
      <c r="F239">
        <v>554.24</v>
      </c>
      <c r="G239">
        <v>183.04</v>
      </c>
      <c r="H239">
        <v>35</v>
      </c>
      <c r="I239" t="s">
        <v>13</v>
      </c>
      <c r="J239" s="1">
        <v>45187</v>
      </c>
      <c r="K239">
        <v>2023</v>
      </c>
    </row>
    <row r="240" spans="1:11" x14ac:dyDescent="0.25">
      <c r="A240">
        <v>262</v>
      </c>
      <c r="B240" t="s">
        <v>11</v>
      </c>
      <c r="C240" t="s">
        <v>15</v>
      </c>
      <c r="D240" s="6">
        <v>46.99</v>
      </c>
      <c r="E240">
        <v>373.06</v>
      </c>
      <c r="F240">
        <v>322.05</v>
      </c>
      <c r="G240">
        <v>117.87</v>
      </c>
      <c r="H240">
        <v>42.19</v>
      </c>
      <c r="I240" t="s">
        <v>22</v>
      </c>
      <c r="J240" s="1">
        <v>45188</v>
      </c>
      <c r="K240">
        <v>2023</v>
      </c>
    </row>
    <row r="241" spans="1:11" x14ac:dyDescent="0.25">
      <c r="A241">
        <v>263</v>
      </c>
      <c r="B241" t="s">
        <v>21</v>
      </c>
      <c r="C241" t="s">
        <v>15</v>
      </c>
      <c r="D241" s="6">
        <v>47.25</v>
      </c>
      <c r="E241">
        <v>430.43</v>
      </c>
      <c r="F241">
        <v>383.01</v>
      </c>
      <c r="G241">
        <v>254.6</v>
      </c>
      <c r="H241">
        <v>21.45</v>
      </c>
      <c r="I241" t="s">
        <v>13</v>
      </c>
      <c r="J241" s="1">
        <v>45189</v>
      </c>
      <c r="K241">
        <v>2023</v>
      </c>
    </row>
    <row r="242" spans="1:11" x14ac:dyDescent="0.25">
      <c r="A242">
        <v>264</v>
      </c>
      <c r="B242" t="s">
        <v>34</v>
      </c>
      <c r="C242" t="s">
        <v>20</v>
      </c>
      <c r="D242" s="6">
        <v>57.51</v>
      </c>
      <c r="E242">
        <v>391.58</v>
      </c>
      <c r="F242">
        <v>565.19000000000005</v>
      </c>
      <c r="G242">
        <v>245.17</v>
      </c>
      <c r="H242">
        <v>36.15</v>
      </c>
      <c r="I242" t="s">
        <v>18</v>
      </c>
      <c r="J242" s="1">
        <v>45190</v>
      </c>
      <c r="K242">
        <v>2023</v>
      </c>
    </row>
    <row r="243" spans="1:11" x14ac:dyDescent="0.25">
      <c r="A243">
        <v>265</v>
      </c>
      <c r="B243" t="s">
        <v>14</v>
      </c>
      <c r="C243" t="s">
        <v>34</v>
      </c>
      <c r="D243" s="6">
        <v>57.47</v>
      </c>
      <c r="E243">
        <v>546.96</v>
      </c>
      <c r="F243">
        <v>608.75</v>
      </c>
      <c r="G243">
        <v>299.42</v>
      </c>
      <c r="H243">
        <v>30.53</v>
      </c>
      <c r="I243" t="s">
        <v>13</v>
      </c>
      <c r="J243" s="1">
        <v>45191</v>
      </c>
      <c r="K243">
        <v>2023</v>
      </c>
    </row>
    <row r="244" spans="1:11" x14ac:dyDescent="0.25">
      <c r="A244">
        <v>266</v>
      </c>
      <c r="B244" t="s">
        <v>14</v>
      </c>
      <c r="C244" t="s">
        <v>16</v>
      </c>
      <c r="D244" s="6">
        <v>42.99</v>
      </c>
      <c r="E244">
        <v>571.41</v>
      </c>
      <c r="F244">
        <v>519.04999999999995</v>
      </c>
      <c r="G244">
        <v>314.02</v>
      </c>
      <c r="H244">
        <v>36.94</v>
      </c>
      <c r="I244" t="s">
        <v>18</v>
      </c>
      <c r="J244" s="1">
        <v>45192</v>
      </c>
      <c r="K244">
        <v>2023</v>
      </c>
    </row>
    <row r="245" spans="1:11" x14ac:dyDescent="0.25">
      <c r="A245">
        <v>267</v>
      </c>
      <c r="B245" t="s">
        <v>14</v>
      </c>
      <c r="C245" t="s">
        <v>12</v>
      </c>
      <c r="D245" s="6">
        <v>58.03</v>
      </c>
      <c r="E245">
        <v>484.62</v>
      </c>
      <c r="F245">
        <v>445.66</v>
      </c>
      <c r="G245">
        <v>141.19999999999999</v>
      </c>
      <c r="H245">
        <v>33.619999999999997</v>
      </c>
      <c r="I245" t="s">
        <v>13</v>
      </c>
      <c r="J245" s="1">
        <v>45193</v>
      </c>
      <c r="K245">
        <v>2023</v>
      </c>
    </row>
    <row r="246" spans="1:11" x14ac:dyDescent="0.25">
      <c r="A246">
        <v>268</v>
      </c>
      <c r="B246" t="s">
        <v>17</v>
      </c>
      <c r="C246" t="s">
        <v>12</v>
      </c>
      <c r="D246" s="6">
        <v>221.98</v>
      </c>
      <c r="E246">
        <v>1650.83</v>
      </c>
      <c r="F246">
        <v>226.22</v>
      </c>
      <c r="G246">
        <v>183.23</v>
      </c>
      <c r="H246">
        <v>30.31</v>
      </c>
      <c r="I246" t="s">
        <v>13</v>
      </c>
      <c r="J246" s="1">
        <v>45194</v>
      </c>
      <c r="K246">
        <v>2023</v>
      </c>
    </row>
    <row r="247" spans="1:11" x14ac:dyDescent="0.25">
      <c r="A247">
        <v>269</v>
      </c>
      <c r="B247" t="s">
        <v>21</v>
      </c>
      <c r="C247" t="s">
        <v>34</v>
      </c>
      <c r="D247" s="6">
        <v>68.2</v>
      </c>
      <c r="E247">
        <v>498.03</v>
      </c>
      <c r="F247">
        <v>454.92</v>
      </c>
      <c r="G247">
        <v>325.58</v>
      </c>
      <c r="H247">
        <v>33.799999999999997</v>
      </c>
      <c r="I247" t="s">
        <v>34</v>
      </c>
      <c r="J247" s="1">
        <v>45195</v>
      </c>
      <c r="K247">
        <v>2023</v>
      </c>
    </row>
    <row r="248" spans="1:11" x14ac:dyDescent="0.25">
      <c r="A248">
        <v>270</v>
      </c>
      <c r="B248" t="s">
        <v>21</v>
      </c>
      <c r="C248" t="s">
        <v>34</v>
      </c>
      <c r="D248" s="6">
        <v>41.72</v>
      </c>
      <c r="E248">
        <v>451.34</v>
      </c>
      <c r="F248">
        <v>544.02</v>
      </c>
      <c r="G248">
        <v>197.97</v>
      </c>
      <c r="H248">
        <v>28.03</v>
      </c>
      <c r="I248" t="s">
        <v>13</v>
      </c>
      <c r="J248" s="1">
        <v>45196</v>
      </c>
      <c r="K248">
        <v>2023</v>
      </c>
    </row>
    <row r="249" spans="1:11" x14ac:dyDescent="0.25">
      <c r="A249">
        <v>271</v>
      </c>
      <c r="B249" t="s">
        <v>14</v>
      </c>
      <c r="C249" t="s">
        <v>12</v>
      </c>
      <c r="D249" s="6">
        <v>52.39</v>
      </c>
      <c r="E249">
        <v>420.38</v>
      </c>
      <c r="F249">
        <v>441.99</v>
      </c>
      <c r="G249">
        <v>212.21</v>
      </c>
      <c r="H249">
        <v>26.13</v>
      </c>
      <c r="I249" t="s">
        <v>13</v>
      </c>
      <c r="J249" s="1">
        <v>45197</v>
      </c>
      <c r="K249">
        <v>2023</v>
      </c>
    </row>
    <row r="250" spans="1:11" x14ac:dyDescent="0.25">
      <c r="A250">
        <v>272</v>
      </c>
      <c r="B250" t="s">
        <v>11</v>
      </c>
      <c r="C250" t="s">
        <v>12</v>
      </c>
      <c r="D250" s="6">
        <v>42.18</v>
      </c>
      <c r="E250">
        <v>533.9</v>
      </c>
      <c r="F250">
        <v>477.29</v>
      </c>
      <c r="G250">
        <v>123.94</v>
      </c>
      <c r="H250">
        <v>34.049999999999997</v>
      </c>
      <c r="I250" t="s">
        <v>18</v>
      </c>
      <c r="J250" s="1">
        <v>45198</v>
      </c>
      <c r="K250">
        <v>2023</v>
      </c>
    </row>
    <row r="251" spans="1:11" x14ac:dyDescent="0.25">
      <c r="A251">
        <v>273</v>
      </c>
      <c r="B251" t="s">
        <v>21</v>
      </c>
      <c r="C251" t="s">
        <v>20</v>
      </c>
      <c r="D251" s="6">
        <v>72.23</v>
      </c>
      <c r="E251">
        <v>424.2</v>
      </c>
      <c r="F251">
        <v>457.73</v>
      </c>
      <c r="G251">
        <v>207.51</v>
      </c>
      <c r="H251">
        <v>25.78</v>
      </c>
      <c r="I251" t="s">
        <v>13</v>
      </c>
      <c r="J251" s="1">
        <v>45199</v>
      </c>
      <c r="K251">
        <v>2023</v>
      </c>
    </row>
    <row r="252" spans="1:11" x14ac:dyDescent="0.25">
      <c r="A252">
        <v>274</v>
      </c>
      <c r="B252" t="s">
        <v>21</v>
      </c>
      <c r="C252" t="s">
        <v>19</v>
      </c>
      <c r="D252" s="6">
        <v>37.619999999999997</v>
      </c>
      <c r="E252">
        <v>343.37</v>
      </c>
      <c r="F252">
        <v>441.4</v>
      </c>
      <c r="G252">
        <v>296.60000000000002</v>
      </c>
      <c r="H252">
        <v>33.21</v>
      </c>
      <c r="I252" t="s">
        <v>18</v>
      </c>
      <c r="J252" s="1">
        <v>45200</v>
      </c>
      <c r="K252">
        <v>2023</v>
      </c>
    </row>
    <row r="253" spans="1:11" x14ac:dyDescent="0.25">
      <c r="A253">
        <v>275</v>
      </c>
      <c r="B253" t="s">
        <v>34</v>
      </c>
      <c r="C253" t="s">
        <v>16</v>
      </c>
      <c r="D253" s="6">
        <v>55.24</v>
      </c>
      <c r="E253">
        <v>365.59</v>
      </c>
      <c r="F253">
        <v>489.11</v>
      </c>
      <c r="G253">
        <v>264.33</v>
      </c>
      <c r="H253">
        <v>30.15</v>
      </c>
      <c r="I253" t="s">
        <v>13</v>
      </c>
      <c r="J253" s="1">
        <v>45201</v>
      </c>
      <c r="K253">
        <v>2023</v>
      </c>
    </row>
    <row r="254" spans="1:11" x14ac:dyDescent="0.25">
      <c r="A254">
        <v>276</v>
      </c>
      <c r="B254" t="s">
        <v>11</v>
      </c>
      <c r="C254" t="s">
        <v>15</v>
      </c>
      <c r="D254" s="6">
        <v>42.65</v>
      </c>
      <c r="E254">
        <v>339.67</v>
      </c>
      <c r="F254">
        <v>447.28</v>
      </c>
      <c r="G254">
        <v>169.5</v>
      </c>
      <c r="H254">
        <v>18.350000000000001</v>
      </c>
      <c r="I254" t="s">
        <v>18</v>
      </c>
      <c r="J254" s="1">
        <v>45202</v>
      </c>
      <c r="K254">
        <v>2023</v>
      </c>
    </row>
    <row r="255" spans="1:11" x14ac:dyDescent="0.25">
      <c r="A255">
        <v>277</v>
      </c>
      <c r="B255" t="s">
        <v>34</v>
      </c>
      <c r="C255" t="s">
        <v>19</v>
      </c>
      <c r="D255" s="6">
        <v>46.46</v>
      </c>
      <c r="E255">
        <v>524.75</v>
      </c>
      <c r="F255">
        <v>653.19000000000005</v>
      </c>
      <c r="G255">
        <v>180.18</v>
      </c>
      <c r="H255">
        <v>27.13</v>
      </c>
      <c r="I255" t="s">
        <v>13</v>
      </c>
      <c r="J255" s="1">
        <v>45203</v>
      </c>
      <c r="K255">
        <v>2023</v>
      </c>
    </row>
    <row r="256" spans="1:11" x14ac:dyDescent="0.25">
      <c r="A256">
        <v>278</v>
      </c>
      <c r="B256" t="s">
        <v>17</v>
      </c>
      <c r="C256" t="s">
        <v>34</v>
      </c>
      <c r="D256" s="6">
        <v>54.54</v>
      </c>
      <c r="E256">
        <v>515.04</v>
      </c>
      <c r="F256">
        <v>215.23</v>
      </c>
      <c r="G256">
        <v>143.44999999999999</v>
      </c>
      <c r="H256">
        <v>31.67</v>
      </c>
      <c r="I256" t="s">
        <v>18</v>
      </c>
      <c r="J256" s="1">
        <v>45204</v>
      </c>
      <c r="K256">
        <v>2023</v>
      </c>
    </row>
    <row r="257" spans="1:11" x14ac:dyDescent="0.25">
      <c r="A257">
        <v>279</v>
      </c>
      <c r="B257" t="s">
        <v>17</v>
      </c>
      <c r="C257" t="s">
        <v>12</v>
      </c>
      <c r="D257" s="6">
        <v>62.25</v>
      </c>
      <c r="E257">
        <v>510.05</v>
      </c>
      <c r="F257">
        <v>414.5</v>
      </c>
      <c r="G257">
        <v>157.44</v>
      </c>
      <c r="H257">
        <v>27.97</v>
      </c>
      <c r="I257" t="s">
        <v>34</v>
      </c>
      <c r="J257" s="1">
        <v>45205</v>
      </c>
      <c r="K257">
        <v>2023</v>
      </c>
    </row>
    <row r="258" spans="1:11" x14ac:dyDescent="0.25">
      <c r="A258">
        <v>280</v>
      </c>
      <c r="B258" t="s">
        <v>14</v>
      </c>
      <c r="C258" t="s">
        <v>19</v>
      </c>
      <c r="D258" s="6">
        <v>66.23</v>
      </c>
      <c r="E258">
        <v>558.77</v>
      </c>
      <c r="F258">
        <v>375.57</v>
      </c>
      <c r="G258">
        <v>104.49</v>
      </c>
      <c r="H258">
        <v>17.27</v>
      </c>
      <c r="I258" t="s">
        <v>18</v>
      </c>
      <c r="J258" s="1">
        <v>45206</v>
      </c>
      <c r="K258">
        <v>2023</v>
      </c>
    </row>
    <row r="259" spans="1:11" x14ac:dyDescent="0.25">
      <c r="A259">
        <v>281</v>
      </c>
      <c r="B259" t="s">
        <v>34</v>
      </c>
      <c r="C259" t="s">
        <v>16</v>
      </c>
      <c r="D259" s="6">
        <v>34.630000000000003</v>
      </c>
      <c r="E259">
        <v>619.20000000000005</v>
      </c>
      <c r="F259">
        <v>506.29</v>
      </c>
      <c r="G259">
        <v>195.76</v>
      </c>
      <c r="H259">
        <v>36.6</v>
      </c>
      <c r="I259" t="s">
        <v>13</v>
      </c>
      <c r="J259" s="1">
        <v>45207</v>
      </c>
      <c r="K259">
        <v>2023</v>
      </c>
    </row>
    <row r="260" spans="1:11" x14ac:dyDescent="0.25">
      <c r="A260">
        <v>282</v>
      </c>
      <c r="B260" t="s">
        <v>21</v>
      </c>
      <c r="C260" t="s">
        <v>34</v>
      </c>
      <c r="D260" s="6">
        <v>52.68</v>
      </c>
      <c r="E260">
        <v>440.77</v>
      </c>
      <c r="F260">
        <v>489.26</v>
      </c>
      <c r="G260">
        <v>275.51</v>
      </c>
      <c r="H260">
        <v>30.85</v>
      </c>
      <c r="I260" t="s">
        <v>34</v>
      </c>
      <c r="J260" s="1">
        <v>45208</v>
      </c>
      <c r="K260">
        <v>2023</v>
      </c>
    </row>
    <row r="261" spans="1:11" x14ac:dyDescent="0.25">
      <c r="A261">
        <v>283</v>
      </c>
      <c r="B261" t="s">
        <v>14</v>
      </c>
      <c r="C261" t="s">
        <v>15</v>
      </c>
      <c r="D261" s="6">
        <v>64.59</v>
      </c>
      <c r="E261">
        <v>540.65</v>
      </c>
      <c r="F261">
        <v>674.66</v>
      </c>
      <c r="G261">
        <v>217.77</v>
      </c>
      <c r="H261">
        <v>32.22</v>
      </c>
      <c r="I261" t="s">
        <v>18</v>
      </c>
      <c r="J261" s="1">
        <v>45209</v>
      </c>
      <c r="K261">
        <v>2023</v>
      </c>
    </row>
    <row r="262" spans="1:11" x14ac:dyDescent="0.25">
      <c r="A262">
        <v>284</v>
      </c>
      <c r="B262" t="s">
        <v>11</v>
      </c>
      <c r="C262" t="s">
        <v>15</v>
      </c>
      <c r="D262" s="6">
        <v>33.15</v>
      </c>
      <c r="E262">
        <v>342.04</v>
      </c>
      <c r="F262">
        <v>714.14</v>
      </c>
      <c r="G262">
        <v>268.31</v>
      </c>
      <c r="H262">
        <v>27.63</v>
      </c>
      <c r="I262" t="s">
        <v>34</v>
      </c>
      <c r="J262" s="1">
        <v>45210</v>
      </c>
      <c r="K262">
        <v>2023</v>
      </c>
    </row>
    <row r="263" spans="1:11" x14ac:dyDescent="0.25">
      <c r="A263">
        <v>285</v>
      </c>
      <c r="B263" t="s">
        <v>21</v>
      </c>
      <c r="C263" t="s">
        <v>16</v>
      </c>
      <c r="D263" s="6">
        <v>53.14</v>
      </c>
      <c r="E263">
        <v>637.87</v>
      </c>
      <c r="F263">
        <v>387.23</v>
      </c>
      <c r="G263">
        <v>253.66</v>
      </c>
      <c r="H263">
        <v>32.659999999999997</v>
      </c>
      <c r="I263" t="s">
        <v>13</v>
      </c>
      <c r="J263" s="1">
        <v>45211</v>
      </c>
      <c r="K263">
        <v>2023</v>
      </c>
    </row>
    <row r="264" spans="1:11" x14ac:dyDescent="0.25">
      <c r="A264">
        <v>286</v>
      </c>
      <c r="B264" t="s">
        <v>21</v>
      </c>
      <c r="C264" t="s">
        <v>16</v>
      </c>
      <c r="D264" s="6">
        <v>49.98</v>
      </c>
      <c r="E264">
        <v>375.52</v>
      </c>
      <c r="F264">
        <v>480.06</v>
      </c>
      <c r="G264">
        <v>172.66</v>
      </c>
      <c r="H264">
        <v>39.17</v>
      </c>
      <c r="I264" t="s">
        <v>13</v>
      </c>
      <c r="J264" s="1">
        <v>45212</v>
      </c>
      <c r="K264">
        <v>2023</v>
      </c>
    </row>
    <row r="265" spans="1:11" x14ac:dyDescent="0.25">
      <c r="A265">
        <v>287</v>
      </c>
      <c r="B265" t="s">
        <v>21</v>
      </c>
      <c r="C265" t="s">
        <v>12</v>
      </c>
      <c r="D265" s="6">
        <v>54.15</v>
      </c>
      <c r="E265">
        <v>428.99</v>
      </c>
      <c r="F265">
        <v>503.56</v>
      </c>
      <c r="G265">
        <v>162.02000000000001</v>
      </c>
      <c r="H265">
        <v>26.32</v>
      </c>
      <c r="I265" t="s">
        <v>13</v>
      </c>
      <c r="J265" s="1">
        <v>45213</v>
      </c>
      <c r="K265">
        <v>2023</v>
      </c>
    </row>
    <row r="266" spans="1:11" x14ac:dyDescent="0.25">
      <c r="A266">
        <v>289</v>
      </c>
      <c r="B266" t="s">
        <v>34</v>
      </c>
      <c r="C266" t="s">
        <v>34</v>
      </c>
      <c r="D266" s="6">
        <v>35.64</v>
      </c>
      <c r="E266">
        <v>347.37</v>
      </c>
      <c r="F266">
        <v>555.41</v>
      </c>
      <c r="G266">
        <v>114.15</v>
      </c>
      <c r="H266">
        <v>31.99</v>
      </c>
      <c r="I266" t="s">
        <v>22</v>
      </c>
      <c r="J266" s="1">
        <v>45215</v>
      </c>
      <c r="K266">
        <v>2023</v>
      </c>
    </row>
    <row r="267" spans="1:11" x14ac:dyDescent="0.25">
      <c r="A267">
        <v>290</v>
      </c>
      <c r="B267" t="s">
        <v>14</v>
      </c>
      <c r="C267" t="s">
        <v>19</v>
      </c>
      <c r="D267" s="6">
        <v>30.87</v>
      </c>
      <c r="E267">
        <v>503.26</v>
      </c>
      <c r="F267">
        <v>451.26</v>
      </c>
      <c r="G267">
        <v>201.62</v>
      </c>
      <c r="H267">
        <v>25.65</v>
      </c>
      <c r="I267" t="s">
        <v>13</v>
      </c>
      <c r="J267" s="1">
        <v>45216</v>
      </c>
      <c r="K267">
        <v>2023</v>
      </c>
    </row>
    <row r="268" spans="1:11" x14ac:dyDescent="0.25">
      <c r="A268">
        <v>291</v>
      </c>
      <c r="B268" t="s">
        <v>14</v>
      </c>
      <c r="C268" t="s">
        <v>34</v>
      </c>
      <c r="D268" s="6">
        <v>59.76</v>
      </c>
      <c r="E268">
        <v>521.39</v>
      </c>
      <c r="F268">
        <v>351.88</v>
      </c>
      <c r="G268">
        <v>54.78</v>
      </c>
      <c r="H268">
        <v>41.06</v>
      </c>
      <c r="I268" t="s">
        <v>34</v>
      </c>
      <c r="J268" s="1">
        <v>45217</v>
      </c>
      <c r="K268">
        <v>2023</v>
      </c>
    </row>
    <row r="269" spans="1:11" x14ac:dyDescent="0.25">
      <c r="A269">
        <v>292</v>
      </c>
      <c r="B269" t="s">
        <v>11</v>
      </c>
      <c r="C269" t="s">
        <v>20</v>
      </c>
      <c r="D269" s="6">
        <v>61.04</v>
      </c>
      <c r="E269">
        <v>481.06</v>
      </c>
      <c r="F269">
        <v>446.45</v>
      </c>
      <c r="G269">
        <v>229.57</v>
      </c>
      <c r="H269">
        <v>31.96</v>
      </c>
      <c r="I269" t="s">
        <v>18</v>
      </c>
      <c r="J269" s="1">
        <v>45218</v>
      </c>
      <c r="K269">
        <v>2023</v>
      </c>
    </row>
    <row r="270" spans="1:11" x14ac:dyDescent="0.25">
      <c r="A270">
        <v>293</v>
      </c>
      <c r="B270" t="s">
        <v>17</v>
      </c>
      <c r="C270" t="s">
        <v>20</v>
      </c>
      <c r="D270" s="6">
        <v>53.03</v>
      </c>
      <c r="E270">
        <v>345.98</v>
      </c>
      <c r="F270">
        <v>360.28</v>
      </c>
      <c r="G270">
        <v>203.59</v>
      </c>
      <c r="H270">
        <v>33.380000000000003</v>
      </c>
      <c r="I270" t="s">
        <v>18</v>
      </c>
      <c r="J270" s="1">
        <v>45219</v>
      </c>
      <c r="K270">
        <v>2023</v>
      </c>
    </row>
    <row r="271" spans="1:11" x14ac:dyDescent="0.25">
      <c r="A271">
        <v>294</v>
      </c>
      <c r="B271" t="s">
        <v>21</v>
      </c>
      <c r="C271" t="s">
        <v>16</v>
      </c>
      <c r="D271" s="6">
        <v>223.29</v>
      </c>
      <c r="E271">
        <v>2793.35</v>
      </c>
      <c r="F271">
        <v>604.4</v>
      </c>
      <c r="G271">
        <v>223.57</v>
      </c>
      <c r="H271">
        <v>28.65</v>
      </c>
      <c r="I271" t="s">
        <v>13</v>
      </c>
      <c r="J271" s="1">
        <v>45220</v>
      </c>
      <c r="K271">
        <v>2023</v>
      </c>
    </row>
    <row r="272" spans="1:11" x14ac:dyDescent="0.25">
      <c r="A272">
        <v>295</v>
      </c>
      <c r="B272" t="s">
        <v>14</v>
      </c>
      <c r="C272" t="s">
        <v>12</v>
      </c>
      <c r="D272" s="6">
        <v>33.770000000000003</v>
      </c>
      <c r="E272">
        <v>554.91999999999996</v>
      </c>
      <c r="F272">
        <v>708.19</v>
      </c>
      <c r="G272">
        <v>252.85</v>
      </c>
      <c r="H272">
        <v>26.02</v>
      </c>
      <c r="I272" t="s">
        <v>22</v>
      </c>
      <c r="J272" s="1">
        <v>45221</v>
      </c>
      <c r="K272">
        <v>2023</v>
      </c>
    </row>
    <row r="273" spans="1:11" x14ac:dyDescent="0.25">
      <c r="A273">
        <v>296</v>
      </c>
      <c r="B273" t="s">
        <v>17</v>
      </c>
      <c r="C273" t="s">
        <v>20</v>
      </c>
      <c r="D273" s="6">
        <v>55.63</v>
      </c>
      <c r="E273">
        <v>763.42</v>
      </c>
      <c r="F273">
        <v>509.38</v>
      </c>
      <c r="G273">
        <v>209.94</v>
      </c>
      <c r="H273">
        <v>30.84</v>
      </c>
      <c r="I273" t="s">
        <v>18</v>
      </c>
      <c r="J273" s="1">
        <v>45222</v>
      </c>
      <c r="K273">
        <v>2023</v>
      </c>
    </row>
    <row r="274" spans="1:11" x14ac:dyDescent="0.25">
      <c r="A274">
        <v>297</v>
      </c>
      <c r="B274" t="s">
        <v>11</v>
      </c>
      <c r="C274" t="s">
        <v>15</v>
      </c>
      <c r="D274" s="6">
        <v>38.99</v>
      </c>
      <c r="E274">
        <v>419.49</v>
      </c>
      <c r="F274">
        <v>493.35</v>
      </c>
      <c r="G274">
        <v>281.58</v>
      </c>
      <c r="H274">
        <v>37.909999999999997</v>
      </c>
      <c r="I274" t="s">
        <v>34</v>
      </c>
      <c r="J274" s="1">
        <v>45223</v>
      </c>
      <c r="K274">
        <v>2023</v>
      </c>
    </row>
    <row r="275" spans="1:11" x14ac:dyDescent="0.25">
      <c r="A275">
        <v>298</v>
      </c>
      <c r="B275" t="s">
        <v>11</v>
      </c>
      <c r="C275" t="s">
        <v>34</v>
      </c>
      <c r="D275" s="6">
        <v>42.89</v>
      </c>
      <c r="E275">
        <v>595.79</v>
      </c>
      <c r="F275">
        <v>498.29</v>
      </c>
      <c r="G275">
        <v>231.1</v>
      </c>
      <c r="H275">
        <v>28.45</v>
      </c>
      <c r="I275" t="s">
        <v>34</v>
      </c>
      <c r="J275" s="1">
        <v>45224</v>
      </c>
      <c r="K275">
        <v>2023</v>
      </c>
    </row>
    <row r="276" spans="1:11" x14ac:dyDescent="0.25">
      <c r="A276">
        <v>299</v>
      </c>
      <c r="B276" t="s">
        <v>17</v>
      </c>
      <c r="C276" t="s">
        <v>34</v>
      </c>
      <c r="D276" s="6">
        <v>44.13</v>
      </c>
      <c r="E276">
        <v>577.92999999999995</v>
      </c>
      <c r="F276">
        <v>621.87</v>
      </c>
      <c r="G276">
        <v>162.13999999999999</v>
      </c>
      <c r="H276">
        <v>29.87</v>
      </c>
      <c r="I276" t="s">
        <v>18</v>
      </c>
      <c r="J276" s="1">
        <v>45225</v>
      </c>
      <c r="K276">
        <v>2023</v>
      </c>
    </row>
    <row r="277" spans="1:11" x14ac:dyDescent="0.25">
      <c r="A277">
        <v>300</v>
      </c>
      <c r="B277" t="s">
        <v>11</v>
      </c>
      <c r="C277" t="s">
        <v>16</v>
      </c>
      <c r="D277" s="6">
        <v>48.02</v>
      </c>
      <c r="E277">
        <v>470.94</v>
      </c>
      <c r="F277">
        <v>619.28</v>
      </c>
      <c r="G277">
        <v>188.11</v>
      </c>
      <c r="H277">
        <v>37.28</v>
      </c>
      <c r="I277" t="s">
        <v>34</v>
      </c>
      <c r="J277" s="1">
        <v>45226</v>
      </c>
      <c r="K277">
        <v>2023</v>
      </c>
    </row>
    <row r="278" spans="1:11" x14ac:dyDescent="0.25">
      <c r="A278">
        <v>302</v>
      </c>
      <c r="B278" t="s">
        <v>21</v>
      </c>
      <c r="C278" t="s">
        <v>16</v>
      </c>
      <c r="D278" s="6">
        <v>150.99</v>
      </c>
      <c r="E278">
        <v>459.46</v>
      </c>
      <c r="F278">
        <v>510.31</v>
      </c>
      <c r="G278">
        <v>154.88999999999999</v>
      </c>
      <c r="H278">
        <v>32.549999999999997</v>
      </c>
      <c r="I278" t="s">
        <v>13</v>
      </c>
      <c r="J278" s="1">
        <v>45228</v>
      </c>
      <c r="K278">
        <v>2023</v>
      </c>
    </row>
    <row r="279" spans="1:11" x14ac:dyDescent="0.25">
      <c r="A279">
        <v>303</v>
      </c>
      <c r="B279" t="s">
        <v>17</v>
      </c>
      <c r="C279" t="s">
        <v>19</v>
      </c>
      <c r="D279" s="6">
        <v>43.78</v>
      </c>
      <c r="E279">
        <v>463.91</v>
      </c>
      <c r="F279">
        <v>558.32000000000005</v>
      </c>
      <c r="G279">
        <v>180.95</v>
      </c>
      <c r="H279">
        <v>34.39</v>
      </c>
      <c r="I279" t="s">
        <v>22</v>
      </c>
      <c r="J279" s="1">
        <v>45229</v>
      </c>
      <c r="K279">
        <v>2023</v>
      </c>
    </row>
    <row r="280" spans="1:11" x14ac:dyDescent="0.25">
      <c r="A280">
        <v>304</v>
      </c>
      <c r="B280" t="s">
        <v>34</v>
      </c>
      <c r="C280" t="s">
        <v>16</v>
      </c>
      <c r="D280" s="6">
        <v>57.01</v>
      </c>
      <c r="E280">
        <v>152.86000000000001</v>
      </c>
      <c r="F280">
        <v>343.48</v>
      </c>
      <c r="G280">
        <v>227.31</v>
      </c>
      <c r="H280">
        <v>29.02</v>
      </c>
      <c r="I280" t="s">
        <v>13</v>
      </c>
      <c r="J280" s="1">
        <v>45230</v>
      </c>
      <c r="K280">
        <v>2023</v>
      </c>
    </row>
    <row r="281" spans="1:11" x14ac:dyDescent="0.25">
      <c r="A281">
        <v>306</v>
      </c>
      <c r="B281" t="s">
        <v>11</v>
      </c>
      <c r="C281" t="s">
        <v>16</v>
      </c>
      <c r="D281" s="6">
        <v>51.09</v>
      </c>
      <c r="E281">
        <v>367.45</v>
      </c>
      <c r="F281">
        <v>688.18</v>
      </c>
      <c r="G281">
        <v>137.69</v>
      </c>
      <c r="H281">
        <v>33.31</v>
      </c>
      <c r="I281" t="s">
        <v>34</v>
      </c>
      <c r="J281" s="1">
        <v>45232</v>
      </c>
      <c r="K281">
        <v>2023</v>
      </c>
    </row>
    <row r="282" spans="1:11" x14ac:dyDescent="0.25">
      <c r="A282">
        <v>307</v>
      </c>
      <c r="B282" t="s">
        <v>34</v>
      </c>
      <c r="C282" t="s">
        <v>19</v>
      </c>
      <c r="D282" s="6">
        <v>54.63</v>
      </c>
      <c r="E282">
        <v>444.93</v>
      </c>
      <c r="F282">
        <v>619.79999999999995</v>
      </c>
      <c r="G282">
        <v>105.62</v>
      </c>
      <c r="H282">
        <v>28</v>
      </c>
      <c r="I282" t="s">
        <v>22</v>
      </c>
      <c r="J282" s="1">
        <v>45233</v>
      </c>
      <c r="K282">
        <v>2023</v>
      </c>
    </row>
    <row r="283" spans="1:11" x14ac:dyDescent="0.25">
      <c r="A283">
        <v>308</v>
      </c>
      <c r="B283" t="s">
        <v>11</v>
      </c>
      <c r="C283" t="s">
        <v>19</v>
      </c>
      <c r="D283" s="6">
        <v>71.180000000000007</v>
      </c>
      <c r="E283">
        <v>397.38</v>
      </c>
      <c r="F283">
        <v>330.53</v>
      </c>
      <c r="G283">
        <v>170.18</v>
      </c>
      <c r="H283">
        <v>34.08</v>
      </c>
      <c r="I283" t="s">
        <v>34</v>
      </c>
      <c r="J283" s="1">
        <v>45234</v>
      </c>
      <c r="K283">
        <v>2023</v>
      </c>
    </row>
    <row r="284" spans="1:11" x14ac:dyDescent="0.25">
      <c r="A284">
        <v>309</v>
      </c>
      <c r="B284" t="s">
        <v>14</v>
      </c>
      <c r="C284" t="s">
        <v>16</v>
      </c>
      <c r="D284" s="6">
        <v>38.270000000000003</v>
      </c>
      <c r="E284">
        <v>463.38</v>
      </c>
      <c r="F284">
        <v>243.6</v>
      </c>
      <c r="G284">
        <v>297.54000000000002</v>
      </c>
      <c r="H284">
        <v>27.27</v>
      </c>
      <c r="I284" t="s">
        <v>34</v>
      </c>
      <c r="J284" s="1">
        <v>45235</v>
      </c>
      <c r="K284">
        <v>2023</v>
      </c>
    </row>
    <row r="285" spans="1:11" x14ac:dyDescent="0.25">
      <c r="A285">
        <v>310</v>
      </c>
      <c r="B285" t="s">
        <v>14</v>
      </c>
      <c r="C285" t="s">
        <v>20</v>
      </c>
      <c r="D285" s="6">
        <v>37.67</v>
      </c>
      <c r="E285">
        <v>544.39</v>
      </c>
      <c r="F285">
        <v>565.04999999999995</v>
      </c>
      <c r="G285">
        <v>213.56</v>
      </c>
      <c r="H285">
        <v>26.62</v>
      </c>
      <c r="I285" t="s">
        <v>13</v>
      </c>
      <c r="J285" s="1">
        <v>45236</v>
      </c>
      <c r="K285">
        <v>2023</v>
      </c>
    </row>
    <row r="286" spans="1:11" x14ac:dyDescent="0.25">
      <c r="A286">
        <v>311</v>
      </c>
      <c r="B286" t="s">
        <v>34</v>
      </c>
      <c r="C286" t="s">
        <v>12</v>
      </c>
      <c r="D286" s="6">
        <v>56.95</v>
      </c>
      <c r="E286">
        <v>501.11</v>
      </c>
      <c r="F286">
        <v>388.78</v>
      </c>
      <c r="G286">
        <v>246.98</v>
      </c>
      <c r="H286">
        <v>22.36</v>
      </c>
      <c r="I286" t="s">
        <v>13</v>
      </c>
      <c r="J286" s="1">
        <v>45237</v>
      </c>
      <c r="K286">
        <v>2023</v>
      </c>
    </row>
    <row r="287" spans="1:11" x14ac:dyDescent="0.25">
      <c r="A287">
        <v>312</v>
      </c>
      <c r="B287" t="s">
        <v>21</v>
      </c>
      <c r="C287" t="s">
        <v>12</v>
      </c>
      <c r="D287" s="6">
        <v>69.47</v>
      </c>
      <c r="E287">
        <v>570.96</v>
      </c>
      <c r="F287">
        <v>514.46</v>
      </c>
      <c r="G287">
        <v>155</v>
      </c>
      <c r="H287">
        <v>27.48</v>
      </c>
      <c r="I287" t="s">
        <v>13</v>
      </c>
      <c r="J287" s="1">
        <v>45238</v>
      </c>
      <c r="K287">
        <v>2023</v>
      </c>
    </row>
    <row r="288" spans="1:11" x14ac:dyDescent="0.25">
      <c r="A288">
        <v>313</v>
      </c>
      <c r="B288" t="s">
        <v>14</v>
      </c>
      <c r="C288" t="s">
        <v>12</v>
      </c>
      <c r="D288" s="6">
        <v>47.4</v>
      </c>
      <c r="E288">
        <v>626.55999999999995</v>
      </c>
      <c r="F288">
        <v>664.22</v>
      </c>
      <c r="G288">
        <v>121.33</v>
      </c>
      <c r="H288">
        <v>25.92</v>
      </c>
      <c r="I288" t="s">
        <v>18</v>
      </c>
      <c r="J288" s="1">
        <v>45239</v>
      </c>
      <c r="K288">
        <v>2023</v>
      </c>
    </row>
    <row r="289" spans="1:11" x14ac:dyDescent="0.25">
      <c r="A289">
        <v>314</v>
      </c>
      <c r="B289" t="s">
        <v>17</v>
      </c>
      <c r="C289" t="s">
        <v>19</v>
      </c>
      <c r="D289" s="6">
        <v>67.27</v>
      </c>
      <c r="E289">
        <v>463.12</v>
      </c>
      <c r="F289">
        <v>401.17</v>
      </c>
      <c r="G289">
        <v>138.94999999999999</v>
      </c>
      <c r="H289">
        <v>28</v>
      </c>
      <c r="I289" t="s">
        <v>13</v>
      </c>
      <c r="J289" s="1">
        <v>45240</v>
      </c>
      <c r="K289">
        <v>2023</v>
      </c>
    </row>
    <row r="290" spans="1:11" x14ac:dyDescent="0.25">
      <c r="A290">
        <v>316</v>
      </c>
      <c r="B290" t="s">
        <v>14</v>
      </c>
      <c r="C290" t="s">
        <v>20</v>
      </c>
      <c r="D290" s="6">
        <v>43.19</v>
      </c>
      <c r="E290">
        <v>595.77</v>
      </c>
      <c r="F290">
        <v>513.21</v>
      </c>
      <c r="G290">
        <v>100.29</v>
      </c>
      <c r="H290">
        <v>21.37</v>
      </c>
      <c r="I290" t="s">
        <v>22</v>
      </c>
      <c r="J290" s="1">
        <v>45242</v>
      </c>
      <c r="K290">
        <v>2023</v>
      </c>
    </row>
    <row r="291" spans="1:11" x14ac:dyDescent="0.25">
      <c r="A291">
        <v>318</v>
      </c>
      <c r="B291" t="s">
        <v>21</v>
      </c>
      <c r="C291" t="s">
        <v>12</v>
      </c>
      <c r="D291" s="6">
        <v>56.29</v>
      </c>
      <c r="E291">
        <v>574.05999999999995</v>
      </c>
      <c r="F291">
        <v>389.06</v>
      </c>
      <c r="G291">
        <v>170.68</v>
      </c>
      <c r="H291">
        <v>26.25</v>
      </c>
      <c r="I291" t="s">
        <v>34</v>
      </c>
      <c r="J291" s="1">
        <v>45244</v>
      </c>
      <c r="K291">
        <v>2023</v>
      </c>
    </row>
    <row r="292" spans="1:11" x14ac:dyDescent="0.25">
      <c r="A292">
        <v>319</v>
      </c>
      <c r="B292" t="s">
        <v>34</v>
      </c>
      <c r="C292" t="s">
        <v>16</v>
      </c>
      <c r="D292" s="6">
        <v>40.85</v>
      </c>
      <c r="E292">
        <v>404.78</v>
      </c>
      <c r="F292">
        <v>482.98</v>
      </c>
      <c r="G292">
        <v>133.94999999999999</v>
      </c>
      <c r="H292">
        <v>32.31</v>
      </c>
      <c r="I292" t="s">
        <v>34</v>
      </c>
      <c r="J292" s="1">
        <v>45245</v>
      </c>
      <c r="K292">
        <v>2023</v>
      </c>
    </row>
    <row r="293" spans="1:11" x14ac:dyDescent="0.25">
      <c r="A293">
        <v>320</v>
      </c>
      <c r="B293" t="s">
        <v>34</v>
      </c>
      <c r="C293" t="s">
        <v>19</v>
      </c>
      <c r="D293" s="6">
        <v>50.81</v>
      </c>
      <c r="E293">
        <v>542.27</v>
      </c>
      <c r="F293">
        <v>443.95</v>
      </c>
      <c r="G293">
        <v>93.82</v>
      </c>
      <c r="H293">
        <v>31.44</v>
      </c>
      <c r="I293" t="s">
        <v>18</v>
      </c>
      <c r="J293" s="1">
        <v>45246</v>
      </c>
      <c r="K293">
        <v>2023</v>
      </c>
    </row>
    <row r="294" spans="1:11" x14ac:dyDescent="0.25">
      <c r="A294">
        <v>321</v>
      </c>
      <c r="B294" t="s">
        <v>21</v>
      </c>
      <c r="C294" t="s">
        <v>12</v>
      </c>
      <c r="D294" s="6">
        <v>65.83</v>
      </c>
      <c r="E294">
        <v>510.95</v>
      </c>
      <c r="F294">
        <v>553.01</v>
      </c>
      <c r="G294">
        <v>214.48</v>
      </c>
      <c r="H294">
        <v>26.17</v>
      </c>
      <c r="I294" t="s">
        <v>22</v>
      </c>
      <c r="J294" s="1">
        <v>45247</v>
      </c>
      <c r="K294">
        <v>2023</v>
      </c>
    </row>
    <row r="295" spans="1:11" x14ac:dyDescent="0.25">
      <c r="A295">
        <v>322</v>
      </c>
      <c r="B295" t="s">
        <v>21</v>
      </c>
      <c r="C295" t="s">
        <v>34</v>
      </c>
      <c r="D295" s="6">
        <v>46.93</v>
      </c>
      <c r="E295">
        <v>605.25</v>
      </c>
      <c r="F295">
        <v>811.92</v>
      </c>
      <c r="G295">
        <v>202.29</v>
      </c>
      <c r="H295">
        <v>35.85</v>
      </c>
      <c r="I295" t="s">
        <v>22</v>
      </c>
      <c r="J295" s="1">
        <v>45248</v>
      </c>
      <c r="K295">
        <v>2023</v>
      </c>
    </row>
    <row r="296" spans="1:11" x14ac:dyDescent="0.25">
      <c r="A296">
        <v>323</v>
      </c>
      <c r="B296" t="s">
        <v>17</v>
      </c>
      <c r="C296" t="s">
        <v>20</v>
      </c>
      <c r="D296" s="6">
        <v>119.46</v>
      </c>
      <c r="E296">
        <v>442.71</v>
      </c>
      <c r="F296">
        <v>491.9</v>
      </c>
      <c r="G296">
        <v>238.95</v>
      </c>
      <c r="H296">
        <v>26.71</v>
      </c>
      <c r="I296" t="s">
        <v>34</v>
      </c>
      <c r="J296" s="1">
        <v>45249</v>
      </c>
      <c r="K296">
        <v>2023</v>
      </c>
    </row>
    <row r="297" spans="1:11" x14ac:dyDescent="0.25">
      <c r="A297">
        <v>325</v>
      </c>
      <c r="B297" t="s">
        <v>11</v>
      </c>
      <c r="C297" t="s">
        <v>34</v>
      </c>
      <c r="D297" s="6">
        <v>44.66</v>
      </c>
      <c r="E297">
        <v>569.02</v>
      </c>
      <c r="F297">
        <v>650.19000000000005</v>
      </c>
      <c r="G297">
        <v>238</v>
      </c>
      <c r="H297">
        <v>28.19</v>
      </c>
      <c r="I297" t="s">
        <v>18</v>
      </c>
      <c r="J297" s="1">
        <v>45251</v>
      </c>
      <c r="K297">
        <v>2023</v>
      </c>
    </row>
    <row r="298" spans="1:11" x14ac:dyDescent="0.25">
      <c r="A298">
        <v>326</v>
      </c>
      <c r="B298" t="s">
        <v>21</v>
      </c>
      <c r="C298" t="s">
        <v>20</v>
      </c>
      <c r="D298" s="6">
        <v>35.93</v>
      </c>
      <c r="E298">
        <v>244.16</v>
      </c>
      <c r="F298">
        <v>289.33999999999997</v>
      </c>
      <c r="G298">
        <v>276.47000000000003</v>
      </c>
      <c r="H298">
        <v>25.66</v>
      </c>
      <c r="I298" t="s">
        <v>13</v>
      </c>
      <c r="J298" s="1">
        <v>45252</v>
      </c>
      <c r="K298">
        <v>2023</v>
      </c>
    </row>
    <row r="299" spans="1:11" x14ac:dyDescent="0.25">
      <c r="A299">
        <v>327</v>
      </c>
      <c r="B299" t="s">
        <v>14</v>
      </c>
      <c r="C299" t="s">
        <v>34</v>
      </c>
      <c r="D299" s="6">
        <v>50.73</v>
      </c>
      <c r="E299">
        <v>426.85</v>
      </c>
      <c r="F299">
        <v>313.33</v>
      </c>
      <c r="G299">
        <v>213.11</v>
      </c>
      <c r="H299">
        <v>26.97</v>
      </c>
      <c r="I299" t="s">
        <v>13</v>
      </c>
      <c r="J299" s="1">
        <v>45253</v>
      </c>
      <c r="K299">
        <v>2023</v>
      </c>
    </row>
    <row r="300" spans="1:11" x14ac:dyDescent="0.25">
      <c r="A300">
        <v>328</v>
      </c>
      <c r="B300" t="s">
        <v>11</v>
      </c>
      <c r="C300" t="s">
        <v>12</v>
      </c>
      <c r="D300" s="6">
        <v>57.8</v>
      </c>
      <c r="E300">
        <v>397.68</v>
      </c>
      <c r="F300">
        <v>408.59</v>
      </c>
      <c r="G300">
        <v>169.5</v>
      </c>
      <c r="H300">
        <v>33.67</v>
      </c>
      <c r="I300" t="s">
        <v>22</v>
      </c>
      <c r="J300" s="1">
        <v>45254</v>
      </c>
      <c r="K300">
        <v>2023</v>
      </c>
    </row>
    <row r="301" spans="1:11" x14ac:dyDescent="0.25">
      <c r="A301">
        <v>329</v>
      </c>
      <c r="B301" t="s">
        <v>11</v>
      </c>
      <c r="C301" t="s">
        <v>19</v>
      </c>
      <c r="D301" s="6">
        <v>50.75</v>
      </c>
      <c r="E301">
        <v>397.01</v>
      </c>
      <c r="F301">
        <v>446.05</v>
      </c>
      <c r="G301">
        <v>207.25</v>
      </c>
      <c r="H301">
        <v>31.81</v>
      </c>
      <c r="I301" t="s">
        <v>22</v>
      </c>
      <c r="J301" s="1">
        <v>45255</v>
      </c>
      <c r="K301">
        <v>2023</v>
      </c>
    </row>
    <row r="302" spans="1:11" x14ac:dyDescent="0.25">
      <c r="A302">
        <v>330</v>
      </c>
      <c r="B302" t="s">
        <v>14</v>
      </c>
      <c r="C302" t="s">
        <v>20</v>
      </c>
      <c r="D302" s="6">
        <v>62.27</v>
      </c>
      <c r="E302">
        <v>425.1</v>
      </c>
      <c r="F302">
        <v>405.71</v>
      </c>
      <c r="G302">
        <v>167.11</v>
      </c>
      <c r="H302">
        <v>34.840000000000003</v>
      </c>
      <c r="I302" t="s">
        <v>13</v>
      </c>
      <c r="J302" s="1">
        <v>45256</v>
      </c>
      <c r="K302">
        <v>2023</v>
      </c>
    </row>
    <row r="303" spans="1:11" x14ac:dyDescent="0.25">
      <c r="A303">
        <v>331</v>
      </c>
      <c r="B303" t="s">
        <v>21</v>
      </c>
      <c r="C303" t="s">
        <v>16</v>
      </c>
      <c r="D303" s="6">
        <v>42.51</v>
      </c>
      <c r="E303">
        <v>621.74</v>
      </c>
      <c r="F303">
        <v>476.22</v>
      </c>
      <c r="G303">
        <v>158.79</v>
      </c>
      <c r="H303">
        <v>31.8</v>
      </c>
      <c r="I303" t="s">
        <v>18</v>
      </c>
      <c r="J303" s="1">
        <v>45257</v>
      </c>
      <c r="K303">
        <v>2023</v>
      </c>
    </row>
    <row r="304" spans="1:11" x14ac:dyDescent="0.25">
      <c r="A304">
        <v>332</v>
      </c>
      <c r="B304" t="s">
        <v>14</v>
      </c>
      <c r="C304" t="s">
        <v>34</v>
      </c>
      <c r="D304" s="6">
        <v>52.25</v>
      </c>
      <c r="E304">
        <v>582.05999999999995</v>
      </c>
      <c r="F304">
        <v>512.97</v>
      </c>
      <c r="G304">
        <v>234.16</v>
      </c>
      <c r="H304">
        <v>21.94</v>
      </c>
      <c r="I304" t="s">
        <v>22</v>
      </c>
      <c r="J304" s="1">
        <v>45258</v>
      </c>
      <c r="K304">
        <v>2023</v>
      </c>
    </row>
    <row r="305" spans="1:11" x14ac:dyDescent="0.25">
      <c r="A305">
        <v>334</v>
      </c>
      <c r="B305" t="s">
        <v>11</v>
      </c>
      <c r="C305" t="s">
        <v>15</v>
      </c>
      <c r="D305" s="6">
        <v>53.62</v>
      </c>
      <c r="E305">
        <v>613.36</v>
      </c>
      <c r="F305">
        <v>490.94</v>
      </c>
      <c r="G305">
        <v>260.25</v>
      </c>
      <c r="H305">
        <v>31.88</v>
      </c>
      <c r="I305" t="s">
        <v>18</v>
      </c>
      <c r="J305" s="1">
        <v>45260</v>
      </c>
      <c r="K305">
        <v>2023</v>
      </c>
    </row>
    <row r="306" spans="1:11" x14ac:dyDescent="0.25">
      <c r="A306">
        <v>335</v>
      </c>
      <c r="B306" t="s">
        <v>14</v>
      </c>
      <c r="C306" t="s">
        <v>15</v>
      </c>
      <c r="D306" s="6">
        <v>55.04</v>
      </c>
      <c r="E306">
        <v>393.77</v>
      </c>
      <c r="F306">
        <v>412.57</v>
      </c>
      <c r="G306">
        <v>177.88</v>
      </c>
      <c r="H306">
        <v>32.57</v>
      </c>
      <c r="I306" t="s">
        <v>13</v>
      </c>
      <c r="J306" s="1">
        <v>45261</v>
      </c>
      <c r="K306">
        <v>2023</v>
      </c>
    </row>
    <row r="307" spans="1:11" x14ac:dyDescent="0.25">
      <c r="A307">
        <v>336</v>
      </c>
      <c r="B307" t="s">
        <v>14</v>
      </c>
      <c r="C307" t="s">
        <v>19</v>
      </c>
      <c r="D307" s="6">
        <v>55.82</v>
      </c>
      <c r="E307">
        <v>380.17</v>
      </c>
      <c r="F307">
        <v>601.76</v>
      </c>
      <c r="G307">
        <v>182.94</v>
      </c>
      <c r="H307">
        <v>28.12</v>
      </c>
      <c r="I307" t="s">
        <v>18</v>
      </c>
      <c r="J307" s="1">
        <v>45262</v>
      </c>
      <c r="K307">
        <v>2023</v>
      </c>
    </row>
    <row r="308" spans="1:11" x14ac:dyDescent="0.25">
      <c r="A308">
        <v>337</v>
      </c>
      <c r="B308" t="s">
        <v>17</v>
      </c>
      <c r="C308" t="s">
        <v>12</v>
      </c>
      <c r="D308" s="6">
        <v>39.29</v>
      </c>
      <c r="E308">
        <v>586.36</v>
      </c>
      <c r="F308">
        <v>381.87</v>
      </c>
      <c r="G308">
        <v>171.67</v>
      </c>
      <c r="H308">
        <v>35.57</v>
      </c>
      <c r="I308" t="s">
        <v>34</v>
      </c>
      <c r="J308" s="1">
        <v>45263</v>
      </c>
      <c r="K308">
        <v>2023</v>
      </c>
    </row>
    <row r="309" spans="1:11" x14ac:dyDescent="0.25">
      <c r="A309">
        <v>338</v>
      </c>
      <c r="B309" t="s">
        <v>34</v>
      </c>
      <c r="C309" t="s">
        <v>19</v>
      </c>
      <c r="D309" s="6">
        <v>41.1</v>
      </c>
      <c r="E309">
        <v>557.96</v>
      </c>
      <c r="F309">
        <v>284.08999999999997</v>
      </c>
      <c r="G309">
        <v>143.99</v>
      </c>
      <c r="H309">
        <v>24.53</v>
      </c>
      <c r="I309" t="s">
        <v>18</v>
      </c>
      <c r="J309" s="1">
        <v>45264</v>
      </c>
      <c r="K309">
        <v>2023</v>
      </c>
    </row>
    <row r="310" spans="1:11" x14ac:dyDescent="0.25">
      <c r="A310">
        <v>340</v>
      </c>
      <c r="B310" t="s">
        <v>14</v>
      </c>
      <c r="C310" t="s">
        <v>19</v>
      </c>
      <c r="D310" s="6">
        <v>47.61</v>
      </c>
      <c r="E310">
        <v>386.45</v>
      </c>
      <c r="F310">
        <v>617.02</v>
      </c>
      <c r="G310">
        <v>309.29000000000002</v>
      </c>
      <c r="H310">
        <v>19.600000000000001</v>
      </c>
      <c r="I310" t="s">
        <v>34</v>
      </c>
      <c r="J310" s="1">
        <v>45266</v>
      </c>
      <c r="K310">
        <v>2023</v>
      </c>
    </row>
    <row r="311" spans="1:11" x14ac:dyDescent="0.25">
      <c r="A311">
        <v>342</v>
      </c>
      <c r="B311" t="s">
        <v>17</v>
      </c>
      <c r="C311" t="s">
        <v>16</v>
      </c>
      <c r="D311" s="6">
        <v>57.08</v>
      </c>
      <c r="E311">
        <v>327.99</v>
      </c>
      <c r="F311">
        <v>432.11</v>
      </c>
      <c r="G311">
        <v>165.98</v>
      </c>
      <c r="H311">
        <v>24.6</v>
      </c>
      <c r="I311" t="s">
        <v>34</v>
      </c>
      <c r="J311" s="1">
        <v>45268</v>
      </c>
      <c r="K311">
        <v>2023</v>
      </c>
    </row>
    <row r="312" spans="1:11" x14ac:dyDescent="0.25">
      <c r="A312">
        <v>343</v>
      </c>
      <c r="B312" t="s">
        <v>17</v>
      </c>
      <c r="C312" t="s">
        <v>16</v>
      </c>
      <c r="D312" s="6">
        <v>41.52</v>
      </c>
      <c r="E312">
        <v>440.16</v>
      </c>
      <c r="F312">
        <v>369.97</v>
      </c>
      <c r="G312">
        <v>162.72999999999999</v>
      </c>
      <c r="H312">
        <v>31.38</v>
      </c>
      <c r="I312" t="s">
        <v>34</v>
      </c>
      <c r="J312" s="1">
        <v>45269</v>
      </c>
      <c r="K312">
        <v>2023</v>
      </c>
    </row>
    <row r="313" spans="1:11" x14ac:dyDescent="0.25">
      <c r="A313">
        <v>344</v>
      </c>
      <c r="B313" t="s">
        <v>11</v>
      </c>
      <c r="C313" t="s">
        <v>20</v>
      </c>
      <c r="D313" s="6">
        <v>33.99</v>
      </c>
      <c r="E313">
        <v>522.86</v>
      </c>
      <c r="F313">
        <v>519.19000000000005</v>
      </c>
      <c r="G313">
        <v>166.01</v>
      </c>
      <c r="H313">
        <v>36.79</v>
      </c>
      <c r="I313" t="s">
        <v>13</v>
      </c>
      <c r="J313" s="1">
        <v>45270</v>
      </c>
      <c r="K313">
        <v>2023</v>
      </c>
    </row>
    <row r="314" spans="1:11" x14ac:dyDescent="0.25">
      <c r="A314">
        <v>346</v>
      </c>
      <c r="B314" t="s">
        <v>14</v>
      </c>
      <c r="C314" t="s">
        <v>19</v>
      </c>
      <c r="D314" s="6">
        <v>38.69</v>
      </c>
      <c r="E314">
        <v>538.30999999999995</v>
      </c>
      <c r="F314">
        <v>564.35</v>
      </c>
      <c r="G314">
        <v>164.08</v>
      </c>
      <c r="H314">
        <v>36.119999999999997</v>
      </c>
      <c r="I314" t="s">
        <v>13</v>
      </c>
      <c r="J314" s="1">
        <v>45272</v>
      </c>
      <c r="K314">
        <v>2023</v>
      </c>
    </row>
    <row r="315" spans="1:11" x14ac:dyDescent="0.25">
      <c r="A315">
        <v>347</v>
      </c>
      <c r="B315" t="s">
        <v>11</v>
      </c>
      <c r="C315" t="s">
        <v>20</v>
      </c>
      <c r="D315" s="6">
        <v>58.36</v>
      </c>
      <c r="E315">
        <v>548.03</v>
      </c>
      <c r="F315">
        <v>604.29</v>
      </c>
      <c r="G315">
        <v>170.74</v>
      </c>
      <c r="H315">
        <v>35.6</v>
      </c>
      <c r="I315" t="s">
        <v>13</v>
      </c>
      <c r="J315" s="1">
        <v>45273</v>
      </c>
      <c r="K315">
        <v>2023</v>
      </c>
    </row>
    <row r="316" spans="1:11" x14ac:dyDescent="0.25">
      <c r="A316">
        <v>348</v>
      </c>
      <c r="B316" t="s">
        <v>17</v>
      </c>
      <c r="C316" t="s">
        <v>15</v>
      </c>
      <c r="D316" s="6">
        <v>50.31</v>
      </c>
      <c r="E316">
        <v>443.06</v>
      </c>
      <c r="F316">
        <v>578.37</v>
      </c>
      <c r="G316">
        <v>137.97999999999999</v>
      </c>
      <c r="H316">
        <v>27.38</v>
      </c>
      <c r="I316" t="s">
        <v>22</v>
      </c>
      <c r="J316" s="1">
        <v>45274</v>
      </c>
      <c r="K316">
        <v>2023</v>
      </c>
    </row>
    <row r="317" spans="1:11" x14ac:dyDescent="0.25">
      <c r="A317">
        <v>349</v>
      </c>
      <c r="B317" t="s">
        <v>14</v>
      </c>
      <c r="C317" t="s">
        <v>34</v>
      </c>
      <c r="D317" s="6">
        <v>52.51</v>
      </c>
      <c r="E317">
        <v>556.85</v>
      </c>
      <c r="F317">
        <v>479.99</v>
      </c>
      <c r="G317">
        <v>214.68</v>
      </c>
      <c r="H317">
        <v>32.99</v>
      </c>
      <c r="I317" t="s">
        <v>22</v>
      </c>
      <c r="J317" s="1">
        <v>45275</v>
      </c>
      <c r="K317">
        <v>2023</v>
      </c>
    </row>
    <row r="318" spans="1:11" x14ac:dyDescent="0.25">
      <c r="A318">
        <v>350</v>
      </c>
      <c r="B318" t="s">
        <v>11</v>
      </c>
      <c r="C318" t="s">
        <v>12</v>
      </c>
      <c r="D318" s="6">
        <v>49.98</v>
      </c>
      <c r="E318">
        <v>510.53</v>
      </c>
      <c r="F318">
        <v>610</v>
      </c>
      <c r="G318">
        <v>196.64</v>
      </c>
      <c r="H318">
        <v>21.38</v>
      </c>
      <c r="I318" t="s">
        <v>13</v>
      </c>
      <c r="J318" s="1">
        <v>45276</v>
      </c>
      <c r="K318">
        <v>2023</v>
      </c>
    </row>
    <row r="319" spans="1:11" x14ac:dyDescent="0.25">
      <c r="A319">
        <v>351</v>
      </c>
      <c r="B319" t="s">
        <v>21</v>
      </c>
      <c r="C319" t="s">
        <v>16</v>
      </c>
      <c r="D319" s="6">
        <v>46.15</v>
      </c>
      <c r="E319">
        <v>341.15</v>
      </c>
      <c r="F319">
        <v>569.4</v>
      </c>
      <c r="G319">
        <v>143.13999999999999</v>
      </c>
      <c r="H319">
        <v>26.57</v>
      </c>
      <c r="I319" t="s">
        <v>18</v>
      </c>
      <c r="J319" s="1">
        <v>45277</v>
      </c>
      <c r="K319">
        <v>2023</v>
      </c>
    </row>
    <row r="320" spans="1:11" x14ac:dyDescent="0.25">
      <c r="A320">
        <v>352</v>
      </c>
      <c r="B320" t="s">
        <v>11</v>
      </c>
      <c r="C320" t="s">
        <v>34</v>
      </c>
      <c r="D320" s="6">
        <v>54.64</v>
      </c>
      <c r="E320">
        <v>579.29</v>
      </c>
      <c r="F320">
        <v>652.73</v>
      </c>
      <c r="G320">
        <v>155.36000000000001</v>
      </c>
      <c r="H320">
        <v>36.96</v>
      </c>
      <c r="I320" t="s">
        <v>18</v>
      </c>
      <c r="J320" s="1">
        <v>45278</v>
      </c>
      <c r="K320">
        <v>2023</v>
      </c>
    </row>
    <row r="321" spans="1:11" x14ac:dyDescent="0.25">
      <c r="A321">
        <v>353</v>
      </c>
      <c r="B321" t="s">
        <v>21</v>
      </c>
      <c r="C321" t="s">
        <v>15</v>
      </c>
      <c r="D321" s="6">
        <v>45.61</v>
      </c>
      <c r="E321">
        <v>597.04</v>
      </c>
      <c r="F321">
        <v>424.85</v>
      </c>
      <c r="G321">
        <v>276.64999999999998</v>
      </c>
      <c r="H321">
        <v>28.07</v>
      </c>
      <c r="I321" t="s">
        <v>22</v>
      </c>
      <c r="J321" s="1">
        <v>45279</v>
      </c>
      <c r="K321">
        <v>2023</v>
      </c>
    </row>
    <row r="322" spans="1:11" x14ac:dyDescent="0.25">
      <c r="A322">
        <v>354</v>
      </c>
      <c r="B322" t="s">
        <v>17</v>
      </c>
      <c r="C322" t="s">
        <v>34</v>
      </c>
      <c r="D322" s="6">
        <v>61.66</v>
      </c>
      <c r="E322">
        <v>580.34</v>
      </c>
      <c r="F322">
        <v>271.43</v>
      </c>
      <c r="G322">
        <v>201.64</v>
      </c>
      <c r="H322">
        <v>20.66</v>
      </c>
      <c r="I322" t="s">
        <v>13</v>
      </c>
      <c r="J322" s="1">
        <v>45280</v>
      </c>
      <c r="K322">
        <v>2023</v>
      </c>
    </row>
    <row r="323" spans="1:11" x14ac:dyDescent="0.25">
      <c r="A323">
        <v>355</v>
      </c>
      <c r="B323" t="s">
        <v>21</v>
      </c>
      <c r="C323" t="s">
        <v>12</v>
      </c>
      <c r="D323" s="6">
        <v>55.68</v>
      </c>
      <c r="E323">
        <v>503.33</v>
      </c>
      <c r="F323">
        <v>605.42999999999995</v>
      </c>
      <c r="G323">
        <v>205.08</v>
      </c>
      <c r="H323">
        <v>40.07</v>
      </c>
      <c r="I323" t="s">
        <v>13</v>
      </c>
      <c r="J323" s="1">
        <v>45281</v>
      </c>
      <c r="K323">
        <v>2023</v>
      </c>
    </row>
    <row r="324" spans="1:11" x14ac:dyDescent="0.25">
      <c r="A324">
        <v>356</v>
      </c>
      <c r="B324" t="s">
        <v>14</v>
      </c>
      <c r="C324" t="s">
        <v>15</v>
      </c>
      <c r="D324" s="6">
        <v>56</v>
      </c>
      <c r="E324">
        <v>404.38</v>
      </c>
      <c r="F324">
        <v>521.97</v>
      </c>
      <c r="G324">
        <v>205.28</v>
      </c>
      <c r="H324">
        <v>32.81</v>
      </c>
      <c r="I324" t="s">
        <v>18</v>
      </c>
    </row>
    <row r="325" spans="1:11" x14ac:dyDescent="0.25">
      <c r="A325">
        <v>357</v>
      </c>
      <c r="B325" t="s">
        <v>17</v>
      </c>
      <c r="C325" t="s">
        <v>34</v>
      </c>
      <c r="D325" s="6">
        <v>44.93</v>
      </c>
      <c r="E325">
        <v>269.08</v>
      </c>
      <c r="F325">
        <v>444.47</v>
      </c>
      <c r="G325">
        <v>269.73</v>
      </c>
      <c r="H325">
        <v>33.82</v>
      </c>
      <c r="I325" t="s">
        <v>18</v>
      </c>
      <c r="J325" s="1">
        <v>45283</v>
      </c>
      <c r="K325">
        <v>2023</v>
      </c>
    </row>
    <row r="326" spans="1:11" x14ac:dyDescent="0.25">
      <c r="A326">
        <v>358</v>
      </c>
      <c r="B326" t="s">
        <v>14</v>
      </c>
      <c r="C326" t="s">
        <v>16</v>
      </c>
      <c r="D326" s="6">
        <v>47.64</v>
      </c>
      <c r="E326">
        <v>515.71</v>
      </c>
      <c r="F326">
        <v>451.18</v>
      </c>
      <c r="G326">
        <v>147.74</v>
      </c>
      <c r="H326">
        <v>25.1</v>
      </c>
      <c r="I326" t="s">
        <v>34</v>
      </c>
      <c r="J326" s="1">
        <v>45284</v>
      </c>
      <c r="K326">
        <v>2023</v>
      </c>
    </row>
    <row r="327" spans="1:11" x14ac:dyDescent="0.25">
      <c r="A327">
        <v>359</v>
      </c>
      <c r="B327" t="s">
        <v>14</v>
      </c>
      <c r="C327" t="s">
        <v>16</v>
      </c>
      <c r="D327" s="6">
        <v>38.119999999999997</v>
      </c>
      <c r="E327">
        <v>608.19000000000005</v>
      </c>
      <c r="F327">
        <v>786.56</v>
      </c>
      <c r="G327">
        <v>180.18</v>
      </c>
      <c r="H327">
        <v>31.42</v>
      </c>
      <c r="I327" t="s">
        <v>22</v>
      </c>
      <c r="J327" s="1">
        <v>45285</v>
      </c>
      <c r="K327">
        <v>2023</v>
      </c>
    </row>
    <row r="328" spans="1:11" x14ac:dyDescent="0.25">
      <c r="A328">
        <v>360</v>
      </c>
      <c r="B328" t="s">
        <v>21</v>
      </c>
      <c r="C328" t="s">
        <v>20</v>
      </c>
      <c r="D328" s="6">
        <v>46.47</v>
      </c>
      <c r="E328">
        <v>599.54999999999995</v>
      </c>
      <c r="F328">
        <v>402.94</v>
      </c>
      <c r="G328">
        <v>191.55</v>
      </c>
      <c r="H328">
        <v>31.29</v>
      </c>
      <c r="I328" t="s">
        <v>13</v>
      </c>
      <c r="J328" s="1">
        <v>45286</v>
      </c>
      <c r="K328">
        <v>2023</v>
      </c>
    </row>
    <row r="329" spans="1:11" x14ac:dyDescent="0.25">
      <c r="A329">
        <v>361</v>
      </c>
      <c r="B329" t="s">
        <v>21</v>
      </c>
      <c r="C329" t="s">
        <v>34</v>
      </c>
      <c r="D329" s="6">
        <v>39.630000000000003</v>
      </c>
      <c r="E329">
        <v>581.61</v>
      </c>
      <c r="F329">
        <v>377.6</v>
      </c>
      <c r="G329">
        <v>113.94</v>
      </c>
      <c r="H329">
        <v>25.89</v>
      </c>
      <c r="I329" t="s">
        <v>13</v>
      </c>
      <c r="J329" s="1">
        <v>45287</v>
      </c>
      <c r="K329">
        <v>2023</v>
      </c>
    </row>
    <row r="330" spans="1:11" x14ac:dyDescent="0.25">
      <c r="A330">
        <v>362</v>
      </c>
      <c r="B330" t="s">
        <v>21</v>
      </c>
      <c r="C330" t="s">
        <v>19</v>
      </c>
      <c r="D330" s="6">
        <v>63.13</v>
      </c>
      <c r="E330">
        <v>492.58</v>
      </c>
      <c r="F330">
        <v>490.23</v>
      </c>
      <c r="G330">
        <v>154.19</v>
      </c>
      <c r="H330">
        <v>29.15</v>
      </c>
      <c r="I330" t="s">
        <v>18</v>
      </c>
      <c r="J330" s="1">
        <v>45288</v>
      </c>
      <c r="K330">
        <v>2023</v>
      </c>
    </row>
    <row r="331" spans="1:11" x14ac:dyDescent="0.25">
      <c r="A331">
        <v>363</v>
      </c>
      <c r="B331" t="s">
        <v>21</v>
      </c>
      <c r="C331" t="s">
        <v>34</v>
      </c>
      <c r="D331" s="6">
        <v>50.51</v>
      </c>
      <c r="E331">
        <v>608.75</v>
      </c>
      <c r="F331">
        <v>621.66</v>
      </c>
      <c r="G331">
        <v>252.33</v>
      </c>
      <c r="H331">
        <v>22.5</v>
      </c>
      <c r="I331" t="s">
        <v>34</v>
      </c>
      <c r="J331" s="1">
        <v>45289</v>
      </c>
      <c r="K331">
        <v>2023</v>
      </c>
    </row>
    <row r="332" spans="1:11" x14ac:dyDescent="0.25">
      <c r="A332">
        <v>364</v>
      </c>
      <c r="B332" t="s">
        <v>21</v>
      </c>
      <c r="C332" t="s">
        <v>15</v>
      </c>
      <c r="D332" s="6">
        <v>51.7</v>
      </c>
      <c r="E332">
        <v>592.41999999999996</v>
      </c>
      <c r="F332">
        <v>753.41</v>
      </c>
      <c r="G332">
        <v>238.01</v>
      </c>
      <c r="H332">
        <v>28.27</v>
      </c>
      <c r="I332" t="s">
        <v>22</v>
      </c>
      <c r="J332" s="1">
        <v>45290</v>
      </c>
      <c r="K332">
        <v>2023</v>
      </c>
    </row>
    <row r="333" spans="1:11" x14ac:dyDescent="0.25">
      <c r="A333">
        <v>365</v>
      </c>
      <c r="B333" t="s">
        <v>17</v>
      </c>
      <c r="C333" t="s">
        <v>15</v>
      </c>
      <c r="D333" s="6">
        <v>47.75</v>
      </c>
      <c r="E333">
        <v>457.74</v>
      </c>
      <c r="F333">
        <v>558.88</v>
      </c>
      <c r="G333">
        <v>246.85</v>
      </c>
      <c r="H333">
        <v>34.869999999999997</v>
      </c>
      <c r="I333" t="s">
        <v>22</v>
      </c>
      <c r="J333" s="1">
        <v>45291</v>
      </c>
      <c r="K333">
        <v>2023</v>
      </c>
    </row>
    <row r="334" spans="1:11" x14ac:dyDescent="0.25">
      <c r="A334">
        <v>366</v>
      </c>
      <c r="B334" t="s">
        <v>14</v>
      </c>
      <c r="C334" t="s">
        <v>34</v>
      </c>
      <c r="D334" s="6">
        <v>51.98</v>
      </c>
      <c r="E334">
        <v>567.66</v>
      </c>
      <c r="F334">
        <v>327.55</v>
      </c>
      <c r="G334">
        <v>170.55</v>
      </c>
      <c r="H334">
        <v>26.27</v>
      </c>
      <c r="I334" t="s">
        <v>13</v>
      </c>
      <c r="J334" s="1">
        <v>45292</v>
      </c>
      <c r="K334">
        <v>2024</v>
      </c>
    </row>
    <row r="335" spans="1:11" x14ac:dyDescent="0.25">
      <c r="A335">
        <v>367</v>
      </c>
      <c r="B335" t="s">
        <v>14</v>
      </c>
      <c r="C335" t="s">
        <v>12</v>
      </c>
      <c r="D335" s="6">
        <v>74.650000000000006</v>
      </c>
      <c r="E335">
        <v>446.4</v>
      </c>
      <c r="F335">
        <v>716.5</v>
      </c>
      <c r="G335">
        <v>176.72</v>
      </c>
      <c r="H335">
        <v>39.54</v>
      </c>
      <c r="I335" t="s">
        <v>18</v>
      </c>
      <c r="J335" s="1">
        <v>45293</v>
      </c>
      <c r="K335">
        <v>2024</v>
      </c>
    </row>
    <row r="336" spans="1:11" x14ac:dyDescent="0.25">
      <c r="A336">
        <v>368</v>
      </c>
      <c r="B336" t="s">
        <v>11</v>
      </c>
      <c r="C336" t="s">
        <v>16</v>
      </c>
      <c r="D336" s="6">
        <v>47</v>
      </c>
      <c r="E336">
        <v>554</v>
      </c>
      <c r="F336">
        <v>477.66</v>
      </c>
      <c r="G336">
        <v>110.6</v>
      </c>
      <c r="H336">
        <v>22.82</v>
      </c>
      <c r="I336" t="s">
        <v>13</v>
      </c>
      <c r="J336" s="1">
        <v>45294</v>
      </c>
      <c r="K336">
        <v>2024</v>
      </c>
    </row>
    <row r="337" spans="1:11" x14ac:dyDescent="0.25">
      <c r="A337">
        <v>371</v>
      </c>
      <c r="B337" t="s">
        <v>14</v>
      </c>
      <c r="C337" t="s">
        <v>15</v>
      </c>
      <c r="D337" s="6">
        <v>24.74</v>
      </c>
      <c r="E337">
        <v>605.82000000000005</v>
      </c>
      <c r="F337">
        <v>580.36</v>
      </c>
      <c r="G337">
        <v>254.2</v>
      </c>
      <c r="H337">
        <v>29.1</v>
      </c>
      <c r="I337" t="s">
        <v>22</v>
      </c>
      <c r="J337" s="1">
        <v>45297</v>
      </c>
      <c r="K337">
        <v>2024</v>
      </c>
    </row>
    <row r="338" spans="1:11" x14ac:dyDescent="0.25">
      <c r="A338">
        <v>373</v>
      </c>
      <c r="B338" t="s">
        <v>14</v>
      </c>
      <c r="C338" t="s">
        <v>19</v>
      </c>
      <c r="D338" s="6">
        <v>46.28</v>
      </c>
      <c r="E338">
        <v>563.36</v>
      </c>
      <c r="F338">
        <v>521.41</v>
      </c>
      <c r="G338">
        <v>221.11</v>
      </c>
      <c r="H338">
        <v>25.08</v>
      </c>
      <c r="I338" t="s">
        <v>22</v>
      </c>
      <c r="J338" s="1">
        <v>45299</v>
      </c>
      <c r="K338">
        <v>2024</v>
      </c>
    </row>
    <row r="339" spans="1:11" x14ac:dyDescent="0.25">
      <c r="A339">
        <v>374</v>
      </c>
      <c r="B339" t="s">
        <v>11</v>
      </c>
      <c r="C339" t="s">
        <v>15</v>
      </c>
      <c r="D339" s="6">
        <v>40.08</v>
      </c>
      <c r="E339">
        <v>508.8</v>
      </c>
      <c r="F339">
        <v>634.38</v>
      </c>
      <c r="G339">
        <v>277.83999999999997</v>
      </c>
      <c r="H339">
        <v>27.74</v>
      </c>
      <c r="I339" t="s">
        <v>22</v>
      </c>
      <c r="J339" s="1">
        <v>45300</v>
      </c>
      <c r="K339">
        <v>2024</v>
      </c>
    </row>
    <row r="340" spans="1:11" x14ac:dyDescent="0.25">
      <c r="A340">
        <v>375</v>
      </c>
      <c r="B340" t="s">
        <v>34</v>
      </c>
      <c r="C340" t="s">
        <v>16</v>
      </c>
      <c r="D340" s="6">
        <v>55.08</v>
      </c>
      <c r="E340">
        <v>260.87</v>
      </c>
      <c r="F340">
        <v>383.74</v>
      </c>
      <c r="G340">
        <v>189.98</v>
      </c>
      <c r="H340">
        <v>33.270000000000003</v>
      </c>
      <c r="I340" t="s">
        <v>34</v>
      </c>
      <c r="J340" s="1">
        <v>45301</v>
      </c>
      <c r="K340">
        <v>2024</v>
      </c>
    </row>
    <row r="341" spans="1:11" x14ac:dyDescent="0.25">
      <c r="A341">
        <v>376</v>
      </c>
      <c r="B341" t="s">
        <v>17</v>
      </c>
      <c r="C341" t="s">
        <v>20</v>
      </c>
      <c r="D341" s="6">
        <v>50.54</v>
      </c>
      <c r="E341">
        <v>492.51</v>
      </c>
      <c r="F341">
        <v>643.94000000000005</v>
      </c>
      <c r="G341">
        <v>111.65</v>
      </c>
      <c r="H341">
        <v>30.47</v>
      </c>
      <c r="I341" t="s">
        <v>13</v>
      </c>
      <c r="J341" s="1">
        <v>45302</v>
      </c>
      <c r="K341">
        <v>2024</v>
      </c>
    </row>
    <row r="342" spans="1:11" x14ac:dyDescent="0.25">
      <c r="A342">
        <v>377</v>
      </c>
      <c r="B342" t="s">
        <v>14</v>
      </c>
      <c r="C342" t="s">
        <v>15</v>
      </c>
      <c r="D342" s="6">
        <v>31.98</v>
      </c>
      <c r="E342">
        <v>545.41999999999996</v>
      </c>
      <c r="F342">
        <v>417.7</v>
      </c>
      <c r="G342">
        <v>243.04</v>
      </c>
      <c r="H342">
        <v>30.88</v>
      </c>
      <c r="I342" t="s">
        <v>18</v>
      </c>
      <c r="J342" s="1">
        <v>45303</v>
      </c>
      <c r="K342">
        <v>2024</v>
      </c>
    </row>
    <row r="343" spans="1:11" x14ac:dyDescent="0.25">
      <c r="A343">
        <v>378</v>
      </c>
      <c r="B343" t="s">
        <v>14</v>
      </c>
      <c r="C343" t="s">
        <v>12</v>
      </c>
      <c r="D343" s="6">
        <v>43.53</v>
      </c>
      <c r="E343">
        <v>446.53</v>
      </c>
      <c r="F343">
        <v>739.68</v>
      </c>
      <c r="G343">
        <v>109.81</v>
      </c>
      <c r="H343">
        <v>25.17</v>
      </c>
      <c r="I343" t="s">
        <v>13</v>
      </c>
      <c r="J343" s="1">
        <v>45304</v>
      </c>
      <c r="K343">
        <v>2024</v>
      </c>
    </row>
    <row r="344" spans="1:11" x14ac:dyDescent="0.25">
      <c r="A344">
        <v>379</v>
      </c>
      <c r="B344" t="s">
        <v>11</v>
      </c>
      <c r="C344" t="s">
        <v>19</v>
      </c>
      <c r="D344" s="6">
        <v>21.12</v>
      </c>
      <c r="E344">
        <v>428.75</v>
      </c>
      <c r="F344">
        <v>551.85</v>
      </c>
      <c r="G344">
        <v>208.51</v>
      </c>
      <c r="H344">
        <v>29.64</v>
      </c>
      <c r="I344" t="s">
        <v>18</v>
      </c>
      <c r="J344" s="1">
        <v>45305</v>
      </c>
      <c r="K344">
        <v>2024</v>
      </c>
    </row>
    <row r="345" spans="1:11" x14ac:dyDescent="0.25">
      <c r="A345">
        <v>380</v>
      </c>
      <c r="B345" t="s">
        <v>17</v>
      </c>
      <c r="C345" t="s">
        <v>15</v>
      </c>
      <c r="D345" s="6">
        <v>52.93</v>
      </c>
      <c r="E345">
        <v>644.44000000000005</v>
      </c>
      <c r="F345">
        <v>369.57</v>
      </c>
      <c r="G345">
        <v>247.77</v>
      </c>
      <c r="H345">
        <v>35.659999999999997</v>
      </c>
      <c r="I345" t="s">
        <v>13</v>
      </c>
      <c r="J345" s="1">
        <v>45306</v>
      </c>
      <c r="K345">
        <v>2024</v>
      </c>
    </row>
    <row r="346" spans="1:11" x14ac:dyDescent="0.25">
      <c r="A346">
        <v>381</v>
      </c>
      <c r="B346" t="s">
        <v>17</v>
      </c>
      <c r="C346" t="s">
        <v>20</v>
      </c>
      <c r="D346" s="6">
        <v>52.83</v>
      </c>
      <c r="E346">
        <v>493.97</v>
      </c>
      <c r="F346">
        <v>236.95</v>
      </c>
      <c r="G346">
        <v>216.21</v>
      </c>
      <c r="H346">
        <v>21.95</v>
      </c>
      <c r="I346" t="s">
        <v>13</v>
      </c>
      <c r="J346" s="1">
        <v>45307</v>
      </c>
      <c r="K346">
        <v>2024</v>
      </c>
    </row>
    <row r="347" spans="1:11" x14ac:dyDescent="0.25">
      <c r="A347">
        <v>383</v>
      </c>
      <c r="B347" t="s">
        <v>34</v>
      </c>
      <c r="C347" t="s">
        <v>34</v>
      </c>
      <c r="D347" s="6">
        <v>55.4</v>
      </c>
      <c r="E347">
        <v>577.41</v>
      </c>
      <c r="F347">
        <v>435.1</v>
      </c>
      <c r="G347">
        <v>101.7</v>
      </c>
      <c r="H347">
        <v>20.92</v>
      </c>
      <c r="I347" t="s">
        <v>34</v>
      </c>
      <c r="J347" s="1">
        <v>45309</v>
      </c>
      <c r="K347">
        <v>2024</v>
      </c>
    </row>
    <row r="348" spans="1:11" x14ac:dyDescent="0.25">
      <c r="A348">
        <v>384</v>
      </c>
      <c r="B348" t="s">
        <v>21</v>
      </c>
      <c r="C348" t="s">
        <v>20</v>
      </c>
      <c r="D348" s="6">
        <v>37.18</v>
      </c>
      <c r="E348">
        <v>399.86</v>
      </c>
      <c r="F348">
        <v>461.33</v>
      </c>
      <c r="G348">
        <v>195.86</v>
      </c>
      <c r="H348">
        <v>32.68</v>
      </c>
      <c r="I348" t="s">
        <v>18</v>
      </c>
      <c r="J348" s="1">
        <v>45310</v>
      </c>
      <c r="K348">
        <v>2024</v>
      </c>
    </row>
    <row r="349" spans="1:11" x14ac:dyDescent="0.25">
      <c r="A349">
        <v>385</v>
      </c>
      <c r="B349" t="s">
        <v>21</v>
      </c>
      <c r="C349" t="s">
        <v>20</v>
      </c>
      <c r="D349" s="6">
        <v>40.33</v>
      </c>
      <c r="E349">
        <v>519.32000000000005</v>
      </c>
      <c r="F349">
        <v>571.94000000000005</v>
      </c>
      <c r="G349">
        <v>200.87</v>
      </c>
      <c r="H349">
        <v>36.130000000000003</v>
      </c>
      <c r="I349" t="s">
        <v>22</v>
      </c>
      <c r="J349" s="1">
        <v>45311</v>
      </c>
      <c r="K349">
        <v>2024</v>
      </c>
    </row>
    <row r="350" spans="1:11" x14ac:dyDescent="0.25">
      <c r="A350">
        <v>386</v>
      </c>
      <c r="B350" t="s">
        <v>21</v>
      </c>
      <c r="C350" t="s">
        <v>12</v>
      </c>
      <c r="D350" s="6">
        <v>54.17</v>
      </c>
      <c r="E350">
        <v>631.96</v>
      </c>
      <c r="F350">
        <v>601.25</v>
      </c>
      <c r="G350">
        <v>132.79</v>
      </c>
      <c r="H350">
        <v>29.08</v>
      </c>
      <c r="I350" t="s">
        <v>34</v>
      </c>
      <c r="J350" s="1">
        <v>45312</v>
      </c>
      <c r="K350">
        <v>2024</v>
      </c>
    </row>
    <row r="351" spans="1:11" x14ac:dyDescent="0.25">
      <c r="A351">
        <v>387</v>
      </c>
      <c r="B351" t="s">
        <v>21</v>
      </c>
      <c r="C351" t="s">
        <v>20</v>
      </c>
      <c r="D351" s="6">
        <v>43.11</v>
      </c>
      <c r="E351">
        <v>681.92</v>
      </c>
      <c r="F351">
        <v>626.85</v>
      </c>
      <c r="G351">
        <v>142.31</v>
      </c>
      <c r="H351">
        <v>24.97</v>
      </c>
      <c r="I351" t="s">
        <v>18</v>
      </c>
      <c r="J351" s="1">
        <v>45313</v>
      </c>
      <c r="K351">
        <v>2024</v>
      </c>
    </row>
    <row r="352" spans="1:11" x14ac:dyDescent="0.25">
      <c r="A352">
        <v>388</v>
      </c>
      <c r="B352" t="s">
        <v>21</v>
      </c>
      <c r="C352" t="s">
        <v>12</v>
      </c>
      <c r="D352" s="6">
        <v>49.37</v>
      </c>
      <c r="E352">
        <v>503.99</v>
      </c>
      <c r="F352">
        <v>339.02</v>
      </c>
      <c r="G352">
        <v>157.74</v>
      </c>
      <c r="H352">
        <v>25.12</v>
      </c>
      <c r="I352" t="s">
        <v>18</v>
      </c>
      <c r="J352" s="1">
        <v>45314</v>
      </c>
      <c r="K352">
        <v>2024</v>
      </c>
    </row>
    <row r="353" spans="1:11" x14ac:dyDescent="0.25">
      <c r="A353">
        <v>389</v>
      </c>
      <c r="B353" t="s">
        <v>14</v>
      </c>
      <c r="C353" t="s">
        <v>15</v>
      </c>
      <c r="D353" s="6">
        <v>44.36</v>
      </c>
      <c r="E353">
        <v>476.21</v>
      </c>
      <c r="F353">
        <v>651.11</v>
      </c>
      <c r="G353">
        <v>145.02000000000001</v>
      </c>
      <c r="H353">
        <v>28.51</v>
      </c>
      <c r="I353" t="s">
        <v>22</v>
      </c>
      <c r="J353" s="1">
        <v>45315</v>
      </c>
      <c r="K353">
        <v>2024</v>
      </c>
    </row>
    <row r="354" spans="1:11" x14ac:dyDescent="0.25">
      <c r="A354">
        <v>390</v>
      </c>
      <c r="B354" t="s">
        <v>17</v>
      </c>
      <c r="C354" t="s">
        <v>12</v>
      </c>
      <c r="D354" s="6">
        <v>45.89</v>
      </c>
      <c r="E354">
        <v>526.9</v>
      </c>
      <c r="F354">
        <v>410.51</v>
      </c>
      <c r="G354">
        <v>194.6</v>
      </c>
      <c r="H354">
        <v>28.5</v>
      </c>
      <c r="I354" t="s">
        <v>13</v>
      </c>
      <c r="J354" s="1">
        <v>45316</v>
      </c>
      <c r="K354">
        <v>2024</v>
      </c>
    </row>
    <row r="355" spans="1:11" x14ac:dyDescent="0.25">
      <c r="A355">
        <v>391</v>
      </c>
      <c r="B355" t="s">
        <v>21</v>
      </c>
      <c r="C355" t="s">
        <v>12</v>
      </c>
      <c r="D355" s="6">
        <v>46.33</v>
      </c>
      <c r="E355">
        <v>524.36</v>
      </c>
      <c r="F355">
        <v>209.25</v>
      </c>
      <c r="G355">
        <v>169.85</v>
      </c>
      <c r="H355">
        <v>34.56</v>
      </c>
      <c r="I355" t="s">
        <v>34</v>
      </c>
      <c r="J355" s="1">
        <v>45317</v>
      </c>
      <c r="K355">
        <v>2024</v>
      </c>
    </row>
    <row r="356" spans="1:11" x14ac:dyDescent="0.25">
      <c r="A356">
        <v>392</v>
      </c>
      <c r="B356" t="s">
        <v>17</v>
      </c>
      <c r="C356" t="s">
        <v>19</v>
      </c>
      <c r="D356" s="6">
        <v>42.93</v>
      </c>
      <c r="E356">
        <v>638.67999999999995</v>
      </c>
      <c r="F356">
        <v>338.59</v>
      </c>
      <c r="G356">
        <v>215.9</v>
      </c>
      <c r="H356">
        <v>26.66</v>
      </c>
      <c r="I356" t="s">
        <v>22</v>
      </c>
      <c r="J356" s="1">
        <v>45318</v>
      </c>
      <c r="K356">
        <v>2024</v>
      </c>
    </row>
    <row r="357" spans="1:11" x14ac:dyDescent="0.25">
      <c r="A357">
        <v>393</v>
      </c>
      <c r="B357" t="s">
        <v>17</v>
      </c>
      <c r="C357" t="s">
        <v>12</v>
      </c>
      <c r="D357" s="6">
        <v>53.02</v>
      </c>
      <c r="E357">
        <v>400.36</v>
      </c>
      <c r="F357">
        <v>506.16</v>
      </c>
      <c r="G357">
        <v>232.47</v>
      </c>
      <c r="H357">
        <v>32.18</v>
      </c>
      <c r="I357" t="s">
        <v>22</v>
      </c>
      <c r="J357" s="1">
        <v>45319</v>
      </c>
      <c r="K357">
        <v>2024</v>
      </c>
    </row>
    <row r="358" spans="1:11" x14ac:dyDescent="0.25">
      <c r="A358">
        <v>394</v>
      </c>
      <c r="B358" t="s">
        <v>21</v>
      </c>
      <c r="C358" t="s">
        <v>12</v>
      </c>
      <c r="D358" s="6">
        <v>43.72</v>
      </c>
      <c r="E358">
        <v>472.01</v>
      </c>
      <c r="F358">
        <v>362.54</v>
      </c>
      <c r="G358">
        <v>229.09</v>
      </c>
      <c r="H358">
        <v>28.47</v>
      </c>
      <c r="I358" t="s">
        <v>13</v>
      </c>
      <c r="J358" s="1">
        <v>45320</v>
      </c>
      <c r="K358">
        <v>2024</v>
      </c>
    </row>
    <row r="359" spans="1:11" x14ac:dyDescent="0.25">
      <c r="A359">
        <v>395</v>
      </c>
      <c r="B359" t="s">
        <v>14</v>
      </c>
      <c r="C359" t="s">
        <v>34</v>
      </c>
      <c r="D359" s="6">
        <v>50.16</v>
      </c>
      <c r="E359">
        <v>388.29</v>
      </c>
      <c r="F359">
        <v>469.43</v>
      </c>
      <c r="G359">
        <v>179.49</v>
      </c>
      <c r="H359">
        <v>26.28</v>
      </c>
      <c r="I359" t="s">
        <v>34</v>
      </c>
      <c r="J359" s="1">
        <v>45321</v>
      </c>
      <c r="K359">
        <v>2024</v>
      </c>
    </row>
    <row r="360" spans="1:11" x14ac:dyDescent="0.25">
      <c r="A360">
        <v>396</v>
      </c>
      <c r="B360" t="s">
        <v>21</v>
      </c>
      <c r="C360" t="s">
        <v>15</v>
      </c>
      <c r="D360" s="6">
        <v>42.71</v>
      </c>
      <c r="E360">
        <v>398.79</v>
      </c>
      <c r="F360">
        <v>520.59</v>
      </c>
      <c r="G360">
        <v>214.22</v>
      </c>
      <c r="H360">
        <v>28.35</v>
      </c>
      <c r="I360" t="s">
        <v>22</v>
      </c>
      <c r="J360" s="1">
        <v>45322</v>
      </c>
      <c r="K360">
        <v>2024</v>
      </c>
    </row>
    <row r="361" spans="1:11" x14ac:dyDescent="0.25">
      <c r="A361">
        <v>397</v>
      </c>
      <c r="B361" t="s">
        <v>14</v>
      </c>
      <c r="C361" t="s">
        <v>19</v>
      </c>
      <c r="D361" s="6">
        <v>34.659999999999997</v>
      </c>
      <c r="E361">
        <v>537.66</v>
      </c>
      <c r="F361">
        <v>458.23</v>
      </c>
      <c r="G361">
        <v>251.76</v>
      </c>
      <c r="H361">
        <v>31.68</v>
      </c>
      <c r="I361" t="s">
        <v>13</v>
      </c>
      <c r="J361" s="1">
        <v>45323</v>
      </c>
      <c r="K361">
        <v>2024</v>
      </c>
    </row>
    <row r="362" spans="1:11" x14ac:dyDescent="0.25">
      <c r="A362">
        <v>398</v>
      </c>
      <c r="B362" t="s">
        <v>11</v>
      </c>
      <c r="C362" t="s">
        <v>34</v>
      </c>
      <c r="D362" s="6">
        <v>59.12</v>
      </c>
      <c r="E362">
        <v>580.99</v>
      </c>
      <c r="F362">
        <v>420.68</v>
      </c>
      <c r="G362">
        <v>222.28</v>
      </c>
      <c r="H362">
        <v>34.57</v>
      </c>
      <c r="I362" t="s">
        <v>34</v>
      </c>
      <c r="J362" s="1">
        <v>45324</v>
      </c>
      <c r="K362">
        <v>2024</v>
      </c>
    </row>
    <row r="363" spans="1:11" x14ac:dyDescent="0.25">
      <c r="A363">
        <v>399</v>
      </c>
      <c r="B363" t="s">
        <v>34</v>
      </c>
      <c r="C363" t="s">
        <v>16</v>
      </c>
      <c r="D363" s="6">
        <v>52.35</v>
      </c>
      <c r="E363">
        <v>435.06</v>
      </c>
      <c r="F363">
        <v>329.92</v>
      </c>
      <c r="G363">
        <v>292.95</v>
      </c>
      <c r="H363">
        <v>28.74</v>
      </c>
      <c r="I363" t="s">
        <v>13</v>
      </c>
      <c r="J363" s="1">
        <v>45325</v>
      </c>
      <c r="K363">
        <v>2024</v>
      </c>
    </row>
    <row r="364" spans="1:11" x14ac:dyDescent="0.25">
      <c r="A364">
        <v>400</v>
      </c>
      <c r="B364" t="s">
        <v>14</v>
      </c>
      <c r="C364" t="s">
        <v>15</v>
      </c>
      <c r="D364" s="6">
        <v>72.89</v>
      </c>
      <c r="E364">
        <v>577.21</v>
      </c>
      <c r="F364">
        <v>482.63</v>
      </c>
      <c r="G364">
        <v>249.11</v>
      </c>
      <c r="H364">
        <v>23.98</v>
      </c>
      <c r="I364" t="s">
        <v>18</v>
      </c>
      <c r="J364" s="1">
        <v>45326</v>
      </c>
      <c r="K364">
        <v>2024</v>
      </c>
    </row>
    <row r="365" spans="1:11" x14ac:dyDescent="0.25">
      <c r="A365">
        <v>404</v>
      </c>
      <c r="B365" t="s">
        <v>17</v>
      </c>
      <c r="C365" t="s">
        <v>34</v>
      </c>
      <c r="D365" s="6">
        <v>59.89</v>
      </c>
      <c r="E365">
        <v>436.02</v>
      </c>
      <c r="F365">
        <v>451.27</v>
      </c>
      <c r="G365">
        <v>183.8</v>
      </c>
      <c r="H365">
        <v>29.88</v>
      </c>
      <c r="I365" t="s">
        <v>22</v>
      </c>
      <c r="J365" s="1">
        <v>45330</v>
      </c>
      <c r="K365">
        <v>2024</v>
      </c>
    </row>
    <row r="366" spans="1:11" x14ac:dyDescent="0.25">
      <c r="A366">
        <v>405</v>
      </c>
      <c r="B366" t="s">
        <v>34</v>
      </c>
      <c r="C366" t="s">
        <v>20</v>
      </c>
      <c r="D366" s="6">
        <v>44.93</v>
      </c>
      <c r="E366">
        <v>399.75</v>
      </c>
      <c r="F366">
        <v>454.4</v>
      </c>
      <c r="G366">
        <v>193.75</v>
      </c>
      <c r="H366">
        <v>29.21</v>
      </c>
      <c r="I366" t="s">
        <v>22</v>
      </c>
      <c r="J366" s="1">
        <v>45331</v>
      </c>
      <c r="K366">
        <v>2024</v>
      </c>
    </row>
    <row r="367" spans="1:11" x14ac:dyDescent="0.25">
      <c r="A367">
        <v>406</v>
      </c>
      <c r="B367" t="s">
        <v>17</v>
      </c>
      <c r="C367" t="s">
        <v>34</v>
      </c>
      <c r="D367" s="6">
        <v>38.29</v>
      </c>
      <c r="E367">
        <v>389.82</v>
      </c>
      <c r="F367">
        <v>595.19000000000005</v>
      </c>
      <c r="G367">
        <v>159.75</v>
      </c>
      <c r="H367">
        <v>27.57</v>
      </c>
      <c r="I367" t="s">
        <v>34</v>
      </c>
      <c r="J367" s="1">
        <v>45332</v>
      </c>
      <c r="K367">
        <v>2024</v>
      </c>
    </row>
    <row r="368" spans="1:11" x14ac:dyDescent="0.25">
      <c r="A368">
        <v>407</v>
      </c>
      <c r="B368" t="s">
        <v>14</v>
      </c>
      <c r="C368" t="s">
        <v>20</v>
      </c>
      <c r="D368" s="6">
        <v>62.08</v>
      </c>
      <c r="E368">
        <v>624.98</v>
      </c>
      <c r="F368">
        <v>670.02</v>
      </c>
      <c r="G368">
        <v>219.81</v>
      </c>
      <c r="H368">
        <v>33.1</v>
      </c>
      <c r="I368" t="s">
        <v>13</v>
      </c>
      <c r="J368" s="1">
        <v>45333</v>
      </c>
      <c r="K368">
        <v>2024</v>
      </c>
    </row>
    <row r="369" spans="1:11" x14ac:dyDescent="0.25">
      <c r="A369">
        <v>408</v>
      </c>
      <c r="B369" t="s">
        <v>14</v>
      </c>
      <c r="C369" t="s">
        <v>16</v>
      </c>
      <c r="D369" s="6">
        <v>46.83</v>
      </c>
      <c r="E369">
        <v>348.49</v>
      </c>
      <c r="F369">
        <v>345.87</v>
      </c>
      <c r="G369">
        <v>109.58</v>
      </c>
      <c r="H369">
        <v>12.09</v>
      </c>
      <c r="I369" t="s">
        <v>13</v>
      </c>
      <c r="J369" s="1">
        <v>45334</v>
      </c>
      <c r="K369">
        <v>2024</v>
      </c>
    </row>
    <row r="370" spans="1:11" x14ac:dyDescent="0.25">
      <c r="A370">
        <v>409</v>
      </c>
      <c r="B370" t="s">
        <v>11</v>
      </c>
      <c r="C370" t="s">
        <v>15</v>
      </c>
      <c r="D370" s="6">
        <v>58.79</v>
      </c>
      <c r="E370">
        <v>621.77</v>
      </c>
      <c r="F370">
        <v>719.14</v>
      </c>
      <c r="G370">
        <v>220.17</v>
      </c>
      <c r="H370">
        <v>35.68</v>
      </c>
      <c r="I370" t="s">
        <v>34</v>
      </c>
      <c r="J370" s="1">
        <v>45335</v>
      </c>
      <c r="K370">
        <v>2024</v>
      </c>
    </row>
    <row r="371" spans="1:11" x14ac:dyDescent="0.25">
      <c r="A371">
        <v>410</v>
      </c>
      <c r="B371" t="s">
        <v>11</v>
      </c>
      <c r="C371" t="s">
        <v>15</v>
      </c>
      <c r="D371" s="6">
        <v>57.62</v>
      </c>
      <c r="E371">
        <v>413.16</v>
      </c>
      <c r="F371">
        <v>386.48</v>
      </c>
      <c r="G371">
        <v>161.41</v>
      </c>
      <c r="H371">
        <v>25.44</v>
      </c>
      <c r="I371" t="s">
        <v>18</v>
      </c>
      <c r="J371" s="1">
        <v>45336</v>
      </c>
      <c r="K371">
        <v>2024</v>
      </c>
    </row>
    <row r="372" spans="1:11" x14ac:dyDescent="0.25">
      <c r="A372">
        <v>411</v>
      </c>
      <c r="B372" t="s">
        <v>21</v>
      </c>
      <c r="C372" t="s">
        <v>19</v>
      </c>
      <c r="D372" s="6">
        <v>49.7</v>
      </c>
      <c r="E372">
        <v>431.48</v>
      </c>
      <c r="F372">
        <v>500.7</v>
      </c>
      <c r="G372">
        <v>174.98</v>
      </c>
      <c r="H372">
        <v>32.04</v>
      </c>
      <c r="I372" t="s">
        <v>22</v>
      </c>
      <c r="J372" s="1">
        <v>45337</v>
      </c>
      <c r="K372">
        <v>2024</v>
      </c>
    </row>
    <row r="373" spans="1:11" x14ac:dyDescent="0.25">
      <c r="A373">
        <v>412</v>
      </c>
      <c r="B373" t="s">
        <v>14</v>
      </c>
      <c r="C373" t="s">
        <v>15</v>
      </c>
      <c r="D373" s="6">
        <v>48.26</v>
      </c>
      <c r="E373">
        <v>484.84</v>
      </c>
      <c r="F373">
        <v>541.29999999999995</v>
      </c>
      <c r="G373">
        <v>221.93</v>
      </c>
      <c r="H373">
        <v>31.78</v>
      </c>
      <c r="I373" t="s">
        <v>22</v>
      </c>
      <c r="J373" s="1">
        <v>45338</v>
      </c>
      <c r="K373">
        <v>2024</v>
      </c>
    </row>
    <row r="374" spans="1:11" x14ac:dyDescent="0.25">
      <c r="A374">
        <v>413</v>
      </c>
      <c r="B374" t="s">
        <v>21</v>
      </c>
      <c r="C374" t="s">
        <v>15</v>
      </c>
      <c r="D374" s="6">
        <v>46.08</v>
      </c>
      <c r="E374">
        <v>429.63</v>
      </c>
      <c r="F374">
        <v>773.35</v>
      </c>
      <c r="G374">
        <v>203.94</v>
      </c>
      <c r="H374">
        <v>36.369999999999997</v>
      </c>
      <c r="I374" t="s">
        <v>13</v>
      </c>
      <c r="J374" s="1">
        <v>45339</v>
      </c>
      <c r="K374">
        <v>2024</v>
      </c>
    </row>
    <row r="375" spans="1:11" x14ac:dyDescent="0.25">
      <c r="A375">
        <v>415</v>
      </c>
      <c r="B375" t="s">
        <v>21</v>
      </c>
      <c r="C375" t="s">
        <v>34</v>
      </c>
      <c r="D375" s="6">
        <v>58.63</v>
      </c>
      <c r="E375">
        <v>681.33</v>
      </c>
      <c r="F375">
        <v>264.39</v>
      </c>
      <c r="G375">
        <v>151.52000000000001</v>
      </c>
      <c r="H375">
        <v>25.85</v>
      </c>
      <c r="I375" t="s">
        <v>34</v>
      </c>
      <c r="J375" s="1">
        <v>45341</v>
      </c>
      <c r="K375">
        <v>2024</v>
      </c>
    </row>
    <row r="376" spans="1:11" x14ac:dyDescent="0.25">
      <c r="A376">
        <v>416</v>
      </c>
      <c r="B376" t="s">
        <v>17</v>
      </c>
      <c r="C376" t="s">
        <v>34</v>
      </c>
      <c r="D376" s="6">
        <v>42.04</v>
      </c>
      <c r="E376">
        <v>434.26</v>
      </c>
      <c r="F376">
        <v>658.85</v>
      </c>
      <c r="G376">
        <v>195.96</v>
      </c>
      <c r="H376">
        <v>21.98</v>
      </c>
      <c r="I376" t="s">
        <v>13</v>
      </c>
      <c r="J376" s="1">
        <v>45342</v>
      </c>
      <c r="K376">
        <v>2024</v>
      </c>
    </row>
    <row r="377" spans="1:11" x14ac:dyDescent="0.25">
      <c r="A377">
        <v>417</v>
      </c>
      <c r="B377" t="s">
        <v>11</v>
      </c>
      <c r="C377" t="s">
        <v>19</v>
      </c>
      <c r="D377" s="6">
        <v>51.09</v>
      </c>
      <c r="E377">
        <v>456.78</v>
      </c>
      <c r="F377">
        <v>380</v>
      </c>
      <c r="G377">
        <v>244.44</v>
      </c>
      <c r="H377">
        <v>28.26</v>
      </c>
      <c r="I377" t="s">
        <v>18</v>
      </c>
      <c r="J377" s="1">
        <v>45343</v>
      </c>
      <c r="K377">
        <v>2024</v>
      </c>
    </row>
    <row r="378" spans="1:11" x14ac:dyDescent="0.25">
      <c r="A378">
        <v>418</v>
      </c>
      <c r="B378" t="s">
        <v>14</v>
      </c>
      <c r="C378" t="s">
        <v>16</v>
      </c>
      <c r="D378" s="6">
        <v>38.81</v>
      </c>
      <c r="E378">
        <v>483.67</v>
      </c>
      <c r="F378">
        <v>436.61</v>
      </c>
      <c r="G378">
        <v>218.06</v>
      </c>
      <c r="H378">
        <v>20.21</v>
      </c>
      <c r="I378" t="s">
        <v>13</v>
      </c>
      <c r="J378" s="1">
        <v>45344</v>
      </c>
      <c r="K378">
        <v>2024</v>
      </c>
    </row>
    <row r="379" spans="1:11" x14ac:dyDescent="0.25">
      <c r="A379">
        <v>419</v>
      </c>
      <c r="B379" t="s">
        <v>14</v>
      </c>
      <c r="C379" t="s">
        <v>15</v>
      </c>
      <c r="D379" s="6">
        <v>40.06</v>
      </c>
      <c r="E379">
        <v>554.11</v>
      </c>
      <c r="F379">
        <v>345.87</v>
      </c>
      <c r="G379">
        <v>221.28</v>
      </c>
      <c r="H379">
        <v>26.86</v>
      </c>
      <c r="I379" t="s">
        <v>13</v>
      </c>
      <c r="J379" s="1">
        <v>45345</v>
      </c>
      <c r="K379">
        <v>2024</v>
      </c>
    </row>
    <row r="380" spans="1:11" x14ac:dyDescent="0.25">
      <c r="A380">
        <v>421</v>
      </c>
      <c r="B380" t="s">
        <v>14</v>
      </c>
      <c r="C380" t="s">
        <v>16</v>
      </c>
      <c r="D380" s="6">
        <v>30.4</v>
      </c>
      <c r="E380">
        <v>638.73</v>
      </c>
      <c r="F380">
        <v>379.15</v>
      </c>
      <c r="G380">
        <v>179.69</v>
      </c>
      <c r="H380">
        <v>26.55</v>
      </c>
      <c r="I380" t="s">
        <v>13</v>
      </c>
      <c r="J380" s="1">
        <v>45347</v>
      </c>
      <c r="K380">
        <v>2024</v>
      </c>
    </row>
    <row r="381" spans="1:11" x14ac:dyDescent="0.25">
      <c r="A381">
        <v>422</v>
      </c>
      <c r="B381" t="s">
        <v>21</v>
      </c>
      <c r="C381" t="s">
        <v>34</v>
      </c>
      <c r="D381" s="6">
        <v>70.61</v>
      </c>
      <c r="E381">
        <v>614.66</v>
      </c>
      <c r="F381">
        <v>561.16999999999996</v>
      </c>
      <c r="G381">
        <v>169.16</v>
      </c>
      <c r="H381">
        <v>30.21</v>
      </c>
      <c r="I381" t="s">
        <v>13</v>
      </c>
      <c r="J381" s="1">
        <v>45348</v>
      </c>
      <c r="K381">
        <v>2024</v>
      </c>
    </row>
    <row r="382" spans="1:11" x14ac:dyDescent="0.25">
      <c r="A382">
        <v>423</v>
      </c>
      <c r="B382" t="s">
        <v>14</v>
      </c>
      <c r="C382" t="s">
        <v>12</v>
      </c>
      <c r="D382" s="6">
        <v>38.07</v>
      </c>
      <c r="E382">
        <v>381.45</v>
      </c>
      <c r="F382">
        <v>489.69</v>
      </c>
      <c r="G382">
        <v>228.8</v>
      </c>
      <c r="H382">
        <v>28.82</v>
      </c>
      <c r="I382" t="s">
        <v>13</v>
      </c>
      <c r="J382" s="1">
        <v>45349</v>
      </c>
      <c r="K382">
        <v>2024</v>
      </c>
    </row>
    <row r="383" spans="1:11" x14ac:dyDescent="0.25">
      <c r="A383">
        <v>424</v>
      </c>
      <c r="B383" t="s">
        <v>34</v>
      </c>
      <c r="C383" t="s">
        <v>12</v>
      </c>
      <c r="D383" s="6">
        <v>49.6</v>
      </c>
      <c r="E383">
        <v>552.1</v>
      </c>
      <c r="F383">
        <v>398.27</v>
      </c>
      <c r="G383">
        <v>192.53</v>
      </c>
      <c r="H383">
        <v>28.36</v>
      </c>
      <c r="I383" t="s">
        <v>18</v>
      </c>
      <c r="J383" s="1">
        <v>45350</v>
      </c>
      <c r="K383">
        <v>2024</v>
      </c>
    </row>
    <row r="384" spans="1:11" x14ac:dyDescent="0.25">
      <c r="A384">
        <v>425</v>
      </c>
      <c r="B384" t="s">
        <v>17</v>
      </c>
      <c r="C384" t="s">
        <v>12</v>
      </c>
      <c r="D384" s="6">
        <v>61.68</v>
      </c>
      <c r="E384">
        <v>652.03</v>
      </c>
      <c r="F384">
        <v>599.5</v>
      </c>
      <c r="G384">
        <v>256.11</v>
      </c>
      <c r="H384">
        <v>17.88</v>
      </c>
      <c r="I384" t="s">
        <v>13</v>
      </c>
      <c r="J384" s="1">
        <v>45351</v>
      </c>
      <c r="K384">
        <v>2024</v>
      </c>
    </row>
    <row r="385" spans="1:11" x14ac:dyDescent="0.25">
      <c r="A385">
        <v>427</v>
      </c>
      <c r="B385" t="s">
        <v>14</v>
      </c>
      <c r="C385" t="s">
        <v>34</v>
      </c>
      <c r="D385" s="6">
        <v>134.87</v>
      </c>
      <c r="E385">
        <v>1882.29</v>
      </c>
      <c r="F385">
        <v>258.47000000000003</v>
      </c>
      <c r="G385">
        <v>168.83</v>
      </c>
      <c r="H385">
        <v>33.21</v>
      </c>
      <c r="I385" t="s">
        <v>18</v>
      </c>
      <c r="J385" s="1">
        <v>45353</v>
      </c>
      <c r="K385">
        <v>2024</v>
      </c>
    </row>
    <row r="386" spans="1:11" x14ac:dyDescent="0.25">
      <c r="A386">
        <v>428</v>
      </c>
      <c r="B386" t="s">
        <v>11</v>
      </c>
      <c r="C386" t="s">
        <v>16</v>
      </c>
      <c r="D386" s="6">
        <v>45.55</v>
      </c>
      <c r="E386">
        <v>447.2</v>
      </c>
      <c r="F386">
        <v>590.36</v>
      </c>
      <c r="G386">
        <v>216.92</v>
      </c>
      <c r="H386">
        <v>34.020000000000003</v>
      </c>
      <c r="I386" t="s">
        <v>22</v>
      </c>
      <c r="J386" s="1">
        <v>45354</v>
      </c>
      <c r="K386">
        <v>2024</v>
      </c>
    </row>
    <row r="387" spans="1:11" x14ac:dyDescent="0.25">
      <c r="A387">
        <v>429</v>
      </c>
      <c r="B387" t="s">
        <v>34</v>
      </c>
      <c r="C387" t="s">
        <v>15</v>
      </c>
      <c r="D387" s="6">
        <v>41.25</v>
      </c>
      <c r="E387">
        <v>449.29</v>
      </c>
      <c r="F387">
        <v>502.18</v>
      </c>
      <c r="G387">
        <v>154.87</v>
      </c>
      <c r="H387">
        <v>20.81</v>
      </c>
      <c r="I387" t="s">
        <v>18</v>
      </c>
      <c r="J387" s="1">
        <v>45355</v>
      </c>
      <c r="K387">
        <v>2024</v>
      </c>
    </row>
    <row r="388" spans="1:11" x14ac:dyDescent="0.25">
      <c r="A388">
        <v>430</v>
      </c>
      <c r="B388" t="s">
        <v>14</v>
      </c>
      <c r="C388" t="s">
        <v>16</v>
      </c>
      <c r="D388" s="6">
        <v>27.24</v>
      </c>
      <c r="E388">
        <v>333.15</v>
      </c>
      <c r="F388">
        <v>646.89</v>
      </c>
      <c r="G388">
        <v>247.35</v>
      </c>
      <c r="H388">
        <v>25.93</v>
      </c>
      <c r="I388" t="s">
        <v>13</v>
      </c>
      <c r="J388" s="1">
        <v>45356</v>
      </c>
      <c r="K388">
        <v>2024</v>
      </c>
    </row>
    <row r="389" spans="1:11" x14ac:dyDescent="0.25">
      <c r="A389">
        <v>431</v>
      </c>
      <c r="B389" t="s">
        <v>14</v>
      </c>
      <c r="C389" t="s">
        <v>16</v>
      </c>
      <c r="D389" s="6">
        <v>52.85</v>
      </c>
      <c r="E389">
        <v>367.17</v>
      </c>
      <c r="F389">
        <v>494.87</v>
      </c>
      <c r="G389">
        <v>130.13999999999999</v>
      </c>
      <c r="H389">
        <v>35.36</v>
      </c>
      <c r="I389" t="s">
        <v>34</v>
      </c>
      <c r="J389" s="1">
        <v>45357</v>
      </c>
      <c r="K389">
        <v>2024</v>
      </c>
    </row>
    <row r="390" spans="1:11" x14ac:dyDescent="0.25">
      <c r="A390">
        <v>432</v>
      </c>
      <c r="B390" t="s">
        <v>34</v>
      </c>
      <c r="C390" t="s">
        <v>34</v>
      </c>
      <c r="D390" s="6">
        <v>52.07</v>
      </c>
      <c r="E390">
        <v>507.75</v>
      </c>
      <c r="F390">
        <v>384.99</v>
      </c>
      <c r="G390">
        <v>261.10000000000002</v>
      </c>
      <c r="H390">
        <v>26.41</v>
      </c>
      <c r="I390" t="s">
        <v>13</v>
      </c>
      <c r="J390" s="1">
        <v>45358</v>
      </c>
      <c r="K390">
        <v>2024</v>
      </c>
    </row>
    <row r="391" spans="1:11" x14ac:dyDescent="0.25">
      <c r="A391">
        <v>433</v>
      </c>
      <c r="B391" t="s">
        <v>14</v>
      </c>
      <c r="C391" t="s">
        <v>12</v>
      </c>
      <c r="D391" s="6">
        <v>61.42</v>
      </c>
      <c r="E391">
        <v>651.36</v>
      </c>
      <c r="F391">
        <v>455.48</v>
      </c>
      <c r="G391">
        <v>216.04</v>
      </c>
      <c r="H391">
        <v>29.44</v>
      </c>
      <c r="I391" t="s">
        <v>13</v>
      </c>
      <c r="J391" s="1">
        <v>45359</v>
      </c>
      <c r="K391">
        <v>2024</v>
      </c>
    </row>
    <row r="392" spans="1:11" x14ac:dyDescent="0.25">
      <c r="A392">
        <v>434</v>
      </c>
      <c r="B392" t="s">
        <v>17</v>
      </c>
      <c r="C392" t="s">
        <v>20</v>
      </c>
      <c r="D392" s="6">
        <v>38.79</v>
      </c>
      <c r="E392">
        <v>438.66</v>
      </c>
      <c r="F392">
        <v>576.47</v>
      </c>
      <c r="G392">
        <v>191.77</v>
      </c>
      <c r="H392">
        <v>37.21</v>
      </c>
      <c r="I392" t="s">
        <v>13</v>
      </c>
      <c r="J392" s="1">
        <v>45360</v>
      </c>
      <c r="K392">
        <v>2024</v>
      </c>
    </row>
    <row r="393" spans="1:11" x14ac:dyDescent="0.25">
      <c r="A393">
        <v>435</v>
      </c>
      <c r="B393" t="s">
        <v>21</v>
      </c>
      <c r="C393" t="s">
        <v>15</v>
      </c>
      <c r="D393" s="6">
        <v>34.01</v>
      </c>
      <c r="E393">
        <v>435.72</v>
      </c>
      <c r="F393">
        <v>387.51</v>
      </c>
      <c r="G393">
        <v>238.17</v>
      </c>
      <c r="H393">
        <v>28.19</v>
      </c>
      <c r="I393" t="s">
        <v>18</v>
      </c>
      <c r="J393" s="1">
        <v>45361</v>
      </c>
      <c r="K393">
        <v>2024</v>
      </c>
    </row>
    <row r="394" spans="1:11" x14ac:dyDescent="0.25">
      <c r="A394">
        <v>436</v>
      </c>
      <c r="B394" t="s">
        <v>14</v>
      </c>
      <c r="C394" t="s">
        <v>34</v>
      </c>
      <c r="D394" s="6">
        <v>45.93</v>
      </c>
      <c r="E394">
        <v>670.15</v>
      </c>
      <c r="F394">
        <v>427.16</v>
      </c>
      <c r="G394">
        <v>225.57</v>
      </c>
      <c r="H394">
        <v>27.48</v>
      </c>
      <c r="I394" t="s">
        <v>13</v>
      </c>
      <c r="J394" s="1">
        <v>45362</v>
      </c>
      <c r="K394">
        <v>2024</v>
      </c>
    </row>
    <row r="395" spans="1:11" x14ac:dyDescent="0.25">
      <c r="A395">
        <v>437</v>
      </c>
      <c r="B395" t="s">
        <v>21</v>
      </c>
      <c r="C395" t="s">
        <v>12</v>
      </c>
      <c r="D395" s="6">
        <v>49.12</v>
      </c>
      <c r="E395">
        <v>389.17</v>
      </c>
      <c r="F395">
        <v>453.4</v>
      </c>
      <c r="G395">
        <v>266.52</v>
      </c>
      <c r="H395">
        <v>29.21</v>
      </c>
      <c r="I395" t="s">
        <v>13</v>
      </c>
      <c r="J395" s="1">
        <v>45363</v>
      </c>
      <c r="K395">
        <v>2024</v>
      </c>
    </row>
    <row r="396" spans="1:11" x14ac:dyDescent="0.25">
      <c r="A396">
        <v>439</v>
      </c>
      <c r="B396" t="s">
        <v>21</v>
      </c>
      <c r="C396" t="s">
        <v>20</v>
      </c>
      <c r="D396" s="6">
        <v>64.11</v>
      </c>
      <c r="E396">
        <v>417.15</v>
      </c>
      <c r="F396">
        <v>389.24</v>
      </c>
      <c r="G396">
        <v>217.61</v>
      </c>
      <c r="H396">
        <v>32.229999999999997</v>
      </c>
      <c r="I396" t="s">
        <v>13</v>
      </c>
      <c r="J396" s="1">
        <v>45365</v>
      </c>
      <c r="K396">
        <v>2024</v>
      </c>
    </row>
    <row r="397" spans="1:11" x14ac:dyDescent="0.25">
      <c r="A397">
        <v>440</v>
      </c>
      <c r="B397" t="s">
        <v>34</v>
      </c>
      <c r="C397" t="s">
        <v>34</v>
      </c>
      <c r="D397" s="6">
        <v>62.14</v>
      </c>
      <c r="E397">
        <v>433.72</v>
      </c>
      <c r="F397">
        <v>500.71</v>
      </c>
      <c r="G397">
        <v>156.41</v>
      </c>
      <c r="H397">
        <v>30.1</v>
      </c>
      <c r="I397" t="s">
        <v>18</v>
      </c>
      <c r="J397" s="1">
        <v>45366</v>
      </c>
      <c r="K397">
        <v>2024</v>
      </c>
    </row>
    <row r="398" spans="1:11" x14ac:dyDescent="0.25">
      <c r="A398">
        <v>441</v>
      </c>
      <c r="B398" t="s">
        <v>17</v>
      </c>
      <c r="C398" t="s">
        <v>19</v>
      </c>
      <c r="D398" s="6">
        <v>52.77</v>
      </c>
      <c r="E398">
        <v>325.25</v>
      </c>
      <c r="F398">
        <v>624.29999999999995</v>
      </c>
      <c r="G398">
        <v>172.92</v>
      </c>
      <c r="H398">
        <v>27.38</v>
      </c>
      <c r="I398" t="s">
        <v>13</v>
      </c>
      <c r="J398" s="1">
        <v>45367</v>
      </c>
      <c r="K398">
        <v>2024</v>
      </c>
    </row>
    <row r="399" spans="1:11" x14ac:dyDescent="0.25">
      <c r="A399">
        <v>442</v>
      </c>
      <c r="B399" t="s">
        <v>21</v>
      </c>
      <c r="C399" t="s">
        <v>15</v>
      </c>
      <c r="D399" s="6">
        <v>57.99</v>
      </c>
      <c r="E399">
        <v>487.2</v>
      </c>
      <c r="F399">
        <v>518.05999999999995</v>
      </c>
      <c r="G399">
        <v>196.42</v>
      </c>
      <c r="H399">
        <v>32.69</v>
      </c>
      <c r="I399" t="s">
        <v>22</v>
      </c>
      <c r="J399" s="1">
        <v>45368</v>
      </c>
      <c r="K399">
        <v>2024</v>
      </c>
    </row>
    <row r="400" spans="1:11" x14ac:dyDescent="0.25">
      <c r="A400">
        <v>443</v>
      </c>
      <c r="B400" t="s">
        <v>21</v>
      </c>
      <c r="C400" t="s">
        <v>20</v>
      </c>
      <c r="D400" s="6">
        <v>43.6</v>
      </c>
      <c r="E400">
        <v>594.84</v>
      </c>
      <c r="F400">
        <v>474.5</v>
      </c>
      <c r="G400">
        <v>254.09</v>
      </c>
      <c r="H400">
        <v>33.299999999999997</v>
      </c>
      <c r="I400" t="s">
        <v>34</v>
      </c>
      <c r="J400" s="1">
        <v>45369</v>
      </c>
      <c r="K400">
        <v>2024</v>
      </c>
    </row>
    <row r="401" spans="1:11" x14ac:dyDescent="0.25">
      <c r="A401">
        <v>444</v>
      </c>
      <c r="B401" t="s">
        <v>34</v>
      </c>
      <c r="C401" t="s">
        <v>34</v>
      </c>
      <c r="D401" s="6">
        <v>258.42</v>
      </c>
      <c r="E401">
        <v>1485.62</v>
      </c>
      <c r="F401">
        <v>380.25</v>
      </c>
      <c r="G401">
        <v>177.18</v>
      </c>
      <c r="H401">
        <v>24.63</v>
      </c>
      <c r="I401" t="s">
        <v>22</v>
      </c>
      <c r="J401" s="1">
        <v>45370</v>
      </c>
      <c r="K401">
        <v>2024</v>
      </c>
    </row>
    <row r="402" spans="1:11" x14ac:dyDescent="0.25">
      <c r="A402">
        <v>445</v>
      </c>
      <c r="B402" t="s">
        <v>21</v>
      </c>
      <c r="C402" t="s">
        <v>34</v>
      </c>
      <c r="D402" s="6">
        <v>38.090000000000003</v>
      </c>
      <c r="E402">
        <v>508.76</v>
      </c>
      <c r="F402">
        <v>611.41999999999996</v>
      </c>
      <c r="G402">
        <v>181.35</v>
      </c>
      <c r="H402">
        <v>33.43</v>
      </c>
      <c r="I402" t="s">
        <v>22</v>
      </c>
      <c r="J402" s="1">
        <v>45371</v>
      </c>
      <c r="K402">
        <v>2024</v>
      </c>
    </row>
    <row r="403" spans="1:11" x14ac:dyDescent="0.25">
      <c r="A403">
        <v>446</v>
      </c>
      <c r="B403" t="s">
        <v>34</v>
      </c>
      <c r="C403" t="s">
        <v>12</v>
      </c>
      <c r="D403" s="6">
        <v>50.63</v>
      </c>
      <c r="E403">
        <v>539.59</v>
      </c>
      <c r="F403">
        <v>532.02</v>
      </c>
      <c r="G403">
        <v>292.42</v>
      </c>
      <c r="H403">
        <v>29.24</v>
      </c>
      <c r="I403" t="s">
        <v>13</v>
      </c>
      <c r="J403" s="1">
        <v>45372</v>
      </c>
      <c r="K403">
        <v>2024</v>
      </c>
    </row>
    <row r="404" spans="1:11" x14ac:dyDescent="0.25">
      <c r="A404">
        <v>447</v>
      </c>
      <c r="B404" t="s">
        <v>21</v>
      </c>
      <c r="C404" t="s">
        <v>19</v>
      </c>
      <c r="D404" s="6">
        <v>50.89</v>
      </c>
      <c r="E404">
        <v>491.66</v>
      </c>
      <c r="F404">
        <v>395.19</v>
      </c>
      <c r="G404">
        <v>194.79</v>
      </c>
      <c r="H404">
        <v>30.12</v>
      </c>
      <c r="I404" t="s">
        <v>34</v>
      </c>
      <c r="J404" s="1">
        <v>45373</v>
      </c>
      <c r="K404">
        <v>2024</v>
      </c>
    </row>
    <row r="405" spans="1:11" x14ac:dyDescent="0.25">
      <c r="A405">
        <v>448</v>
      </c>
      <c r="B405" t="s">
        <v>34</v>
      </c>
      <c r="C405" t="s">
        <v>15</v>
      </c>
      <c r="D405" s="6">
        <v>128.79</v>
      </c>
      <c r="E405">
        <v>518.57000000000005</v>
      </c>
      <c r="F405">
        <v>587.84</v>
      </c>
      <c r="G405">
        <v>168.26</v>
      </c>
      <c r="H405">
        <v>25.58</v>
      </c>
      <c r="I405" t="s">
        <v>18</v>
      </c>
      <c r="J405" s="1">
        <v>45374</v>
      </c>
      <c r="K405">
        <v>2024</v>
      </c>
    </row>
    <row r="406" spans="1:11" x14ac:dyDescent="0.25">
      <c r="A406">
        <v>449</v>
      </c>
      <c r="B406" t="s">
        <v>17</v>
      </c>
      <c r="C406" t="s">
        <v>16</v>
      </c>
      <c r="D406" s="6">
        <v>47.71</v>
      </c>
      <c r="E406">
        <v>519.73</v>
      </c>
      <c r="F406">
        <v>547.15</v>
      </c>
      <c r="G406">
        <v>238.83</v>
      </c>
      <c r="H406">
        <v>28</v>
      </c>
      <c r="I406" t="s">
        <v>18</v>
      </c>
      <c r="J406" s="1">
        <v>45375</v>
      </c>
      <c r="K406">
        <v>2024</v>
      </c>
    </row>
    <row r="407" spans="1:11" x14ac:dyDescent="0.25">
      <c r="A407">
        <v>450</v>
      </c>
      <c r="B407" t="s">
        <v>21</v>
      </c>
      <c r="C407" t="s">
        <v>12</v>
      </c>
      <c r="D407" s="6">
        <v>50.9</v>
      </c>
      <c r="E407">
        <v>418.73</v>
      </c>
      <c r="F407">
        <v>382.38</v>
      </c>
      <c r="G407">
        <v>197.19</v>
      </c>
      <c r="H407">
        <v>24.85</v>
      </c>
      <c r="I407" t="s">
        <v>22</v>
      </c>
      <c r="J407" s="1">
        <v>45376</v>
      </c>
      <c r="K407">
        <v>2024</v>
      </c>
    </row>
    <row r="408" spans="1:11" x14ac:dyDescent="0.25">
      <c r="A408">
        <v>452</v>
      </c>
      <c r="B408" t="s">
        <v>21</v>
      </c>
      <c r="C408" t="s">
        <v>20</v>
      </c>
      <c r="D408" s="6">
        <v>45.45</v>
      </c>
      <c r="E408">
        <v>624.78</v>
      </c>
      <c r="F408">
        <v>420.87</v>
      </c>
      <c r="G408">
        <v>252.05</v>
      </c>
      <c r="H408">
        <v>31.89</v>
      </c>
      <c r="I408" t="s">
        <v>13</v>
      </c>
      <c r="J408" s="1">
        <v>45378</v>
      </c>
      <c r="K408">
        <v>2024</v>
      </c>
    </row>
    <row r="409" spans="1:11" x14ac:dyDescent="0.25">
      <c r="A409">
        <v>453</v>
      </c>
      <c r="B409" t="s">
        <v>14</v>
      </c>
      <c r="C409" t="s">
        <v>12</v>
      </c>
      <c r="D409" s="6">
        <v>41.98</v>
      </c>
      <c r="E409">
        <v>618.99</v>
      </c>
      <c r="F409">
        <v>796.02</v>
      </c>
      <c r="G409">
        <v>162.65</v>
      </c>
      <c r="H409">
        <v>28.22</v>
      </c>
      <c r="I409" t="s">
        <v>34</v>
      </c>
      <c r="J409" s="1">
        <v>45379</v>
      </c>
      <c r="K409">
        <v>2024</v>
      </c>
    </row>
    <row r="410" spans="1:11" x14ac:dyDescent="0.25">
      <c r="A410">
        <v>454</v>
      </c>
      <c r="B410" t="s">
        <v>14</v>
      </c>
      <c r="C410" t="s">
        <v>34</v>
      </c>
      <c r="D410" s="6">
        <v>62.99</v>
      </c>
      <c r="E410">
        <v>601.37</v>
      </c>
      <c r="F410">
        <v>543.80999999999995</v>
      </c>
      <c r="G410">
        <v>202.18</v>
      </c>
      <c r="H410">
        <v>23.5</v>
      </c>
      <c r="I410" t="s">
        <v>22</v>
      </c>
      <c r="J410" s="1">
        <v>45380</v>
      </c>
      <c r="K410">
        <v>2024</v>
      </c>
    </row>
    <row r="411" spans="1:11" x14ac:dyDescent="0.25">
      <c r="A411">
        <v>455</v>
      </c>
      <c r="B411" t="s">
        <v>14</v>
      </c>
      <c r="C411" t="s">
        <v>20</v>
      </c>
      <c r="D411" s="6">
        <v>40.19</v>
      </c>
      <c r="E411">
        <v>342.5</v>
      </c>
      <c r="F411">
        <v>502.41</v>
      </c>
      <c r="G411">
        <v>196.59</v>
      </c>
      <c r="H411">
        <v>40.89</v>
      </c>
      <c r="I411" t="s">
        <v>13</v>
      </c>
      <c r="J411" s="1">
        <v>45381</v>
      </c>
      <c r="K411">
        <v>2024</v>
      </c>
    </row>
    <row r="412" spans="1:11" x14ac:dyDescent="0.25">
      <c r="A412">
        <v>456</v>
      </c>
      <c r="B412" t="s">
        <v>17</v>
      </c>
      <c r="C412" t="s">
        <v>19</v>
      </c>
      <c r="D412" s="6">
        <v>36.72</v>
      </c>
      <c r="E412">
        <v>592.61</v>
      </c>
      <c r="F412">
        <v>536.72</v>
      </c>
      <c r="G412">
        <v>211.51</v>
      </c>
      <c r="H412">
        <v>24.38</v>
      </c>
      <c r="I412" t="s">
        <v>34</v>
      </c>
      <c r="J412" s="1">
        <v>45382</v>
      </c>
      <c r="K412">
        <v>2024</v>
      </c>
    </row>
    <row r="413" spans="1:11" x14ac:dyDescent="0.25">
      <c r="A413">
        <v>457</v>
      </c>
      <c r="B413" t="s">
        <v>21</v>
      </c>
      <c r="C413" t="s">
        <v>15</v>
      </c>
      <c r="D413" s="6">
        <v>56.8</v>
      </c>
      <c r="E413">
        <v>565.55999999999995</v>
      </c>
      <c r="F413">
        <v>645.5</v>
      </c>
      <c r="G413">
        <v>90.45</v>
      </c>
      <c r="H413">
        <v>35.46</v>
      </c>
      <c r="I413" t="s">
        <v>18</v>
      </c>
      <c r="J413" s="1">
        <v>45383</v>
      </c>
      <c r="K413">
        <v>2024</v>
      </c>
    </row>
    <row r="414" spans="1:11" x14ac:dyDescent="0.25">
      <c r="A414">
        <v>458</v>
      </c>
      <c r="B414" t="s">
        <v>34</v>
      </c>
      <c r="C414" t="s">
        <v>19</v>
      </c>
      <c r="D414" s="6">
        <v>61.58</v>
      </c>
      <c r="E414">
        <v>346.35</v>
      </c>
      <c r="F414">
        <v>469.99</v>
      </c>
      <c r="G414">
        <v>183.25</v>
      </c>
      <c r="H414">
        <v>22.62</v>
      </c>
      <c r="I414" t="s">
        <v>13</v>
      </c>
      <c r="J414" s="1">
        <v>45384</v>
      </c>
      <c r="K414">
        <v>2024</v>
      </c>
    </row>
    <row r="415" spans="1:11" x14ac:dyDescent="0.25">
      <c r="A415">
        <v>459</v>
      </c>
      <c r="B415" t="s">
        <v>14</v>
      </c>
      <c r="C415" t="s">
        <v>20</v>
      </c>
      <c r="D415" s="6">
        <v>45.49</v>
      </c>
      <c r="E415">
        <v>478.51</v>
      </c>
      <c r="F415">
        <v>409.21</v>
      </c>
      <c r="G415">
        <v>256.24</v>
      </c>
      <c r="H415">
        <v>32.28</v>
      </c>
      <c r="I415" t="s">
        <v>34</v>
      </c>
      <c r="J415" s="1">
        <v>45385</v>
      </c>
      <c r="K415">
        <v>2024</v>
      </c>
    </row>
    <row r="416" spans="1:11" x14ac:dyDescent="0.25">
      <c r="A416">
        <v>460</v>
      </c>
      <c r="B416" t="s">
        <v>21</v>
      </c>
      <c r="C416" t="s">
        <v>16</v>
      </c>
      <c r="D416" s="6">
        <v>45.64</v>
      </c>
      <c r="E416">
        <v>527.67999999999995</v>
      </c>
      <c r="F416">
        <v>581.30999999999995</v>
      </c>
      <c r="G416">
        <v>263.27</v>
      </c>
      <c r="H416">
        <v>28.75</v>
      </c>
      <c r="I416" t="s">
        <v>13</v>
      </c>
      <c r="J416" s="1">
        <v>45386</v>
      </c>
      <c r="K416">
        <v>2024</v>
      </c>
    </row>
    <row r="417" spans="1:11" x14ac:dyDescent="0.25">
      <c r="A417">
        <v>461</v>
      </c>
      <c r="B417" t="s">
        <v>34</v>
      </c>
      <c r="C417" t="s">
        <v>15</v>
      </c>
      <c r="D417" s="6">
        <v>52.83</v>
      </c>
      <c r="E417">
        <v>666.43</v>
      </c>
      <c r="F417">
        <v>459.01</v>
      </c>
      <c r="G417">
        <v>150.44</v>
      </c>
      <c r="H417">
        <v>26.85</v>
      </c>
      <c r="I417" t="s">
        <v>22</v>
      </c>
      <c r="J417" s="1">
        <v>45387</v>
      </c>
      <c r="K417">
        <v>2024</v>
      </c>
    </row>
    <row r="418" spans="1:11" x14ac:dyDescent="0.25">
      <c r="A418">
        <v>462</v>
      </c>
      <c r="B418" t="s">
        <v>21</v>
      </c>
      <c r="C418" t="s">
        <v>15</v>
      </c>
      <c r="D418" s="6">
        <v>42.92</v>
      </c>
      <c r="E418">
        <v>572.47</v>
      </c>
      <c r="F418">
        <v>351.61</v>
      </c>
      <c r="G418">
        <v>246.03</v>
      </c>
      <c r="H418">
        <v>30.98</v>
      </c>
      <c r="I418" t="s">
        <v>13</v>
      </c>
      <c r="J418" s="1">
        <v>45388</v>
      </c>
      <c r="K418">
        <v>2024</v>
      </c>
    </row>
    <row r="419" spans="1:11" x14ac:dyDescent="0.25">
      <c r="A419">
        <v>463</v>
      </c>
      <c r="B419" t="s">
        <v>17</v>
      </c>
      <c r="C419" t="s">
        <v>12</v>
      </c>
      <c r="D419" s="6">
        <v>42.18</v>
      </c>
      <c r="E419">
        <v>413.54</v>
      </c>
      <c r="F419">
        <v>328.24</v>
      </c>
      <c r="G419">
        <v>161.93</v>
      </c>
      <c r="H419">
        <v>30.31</v>
      </c>
      <c r="I419" t="s">
        <v>18</v>
      </c>
      <c r="J419" s="1">
        <v>45389</v>
      </c>
      <c r="K419">
        <v>2024</v>
      </c>
    </row>
    <row r="420" spans="1:11" x14ac:dyDescent="0.25">
      <c r="A420">
        <v>464</v>
      </c>
      <c r="B420" t="s">
        <v>21</v>
      </c>
      <c r="C420" t="s">
        <v>12</v>
      </c>
      <c r="D420" s="6">
        <v>58.8</v>
      </c>
      <c r="E420">
        <v>669.54</v>
      </c>
      <c r="F420">
        <v>663.52</v>
      </c>
      <c r="G420">
        <v>181.27</v>
      </c>
      <c r="H420">
        <v>25.94</v>
      </c>
      <c r="I420" t="s">
        <v>22</v>
      </c>
      <c r="J420" s="1">
        <v>45390</v>
      </c>
      <c r="K420">
        <v>2024</v>
      </c>
    </row>
    <row r="421" spans="1:11" x14ac:dyDescent="0.25">
      <c r="A421">
        <v>465</v>
      </c>
      <c r="B421" t="s">
        <v>14</v>
      </c>
      <c r="C421" t="s">
        <v>16</v>
      </c>
      <c r="D421" s="6">
        <v>56.07</v>
      </c>
      <c r="E421">
        <v>504.38</v>
      </c>
      <c r="F421">
        <v>495.8</v>
      </c>
      <c r="G421">
        <v>183.9</v>
      </c>
      <c r="H421">
        <v>25.71</v>
      </c>
      <c r="I421" t="s">
        <v>22</v>
      </c>
      <c r="J421" s="1">
        <v>45391</v>
      </c>
      <c r="K421">
        <v>2024</v>
      </c>
    </row>
    <row r="422" spans="1:11" x14ac:dyDescent="0.25">
      <c r="A422">
        <v>466</v>
      </c>
      <c r="B422" t="s">
        <v>14</v>
      </c>
      <c r="C422" t="s">
        <v>34</v>
      </c>
      <c r="D422" s="6">
        <v>63.11</v>
      </c>
      <c r="E422">
        <v>474.42</v>
      </c>
      <c r="F422">
        <v>409.25</v>
      </c>
      <c r="G422">
        <v>205.44</v>
      </c>
      <c r="H422">
        <v>22.13</v>
      </c>
      <c r="I422" t="s">
        <v>34</v>
      </c>
      <c r="J422" s="1">
        <v>45392</v>
      </c>
      <c r="K422">
        <v>2024</v>
      </c>
    </row>
    <row r="423" spans="1:11" x14ac:dyDescent="0.25">
      <c r="A423">
        <v>467</v>
      </c>
      <c r="B423" t="s">
        <v>11</v>
      </c>
      <c r="C423" t="s">
        <v>15</v>
      </c>
      <c r="D423" s="6">
        <v>37.47</v>
      </c>
      <c r="E423">
        <v>467.29</v>
      </c>
      <c r="F423">
        <v>451.88</v>
      </c>
      <c r="G423">
        <v>250.07</v>
      </c>
      <c r="H423">
        <v>31.53</v>
      </c>
      <c r="I423" t="s">
        <v>13</v>
      </c>
      <c r="J423" s="1">
        <v>45393</v>
      </c>
      <c r="K423">
        <v>2024</v>
      </c>
    </row>
    <row r="424" spans="1:11" x14ac:dyDescent="0.25">
      <c r="A424">
        <v>468</v>
      </c>
      <c r="B424" t="s">
        <v>21</v>
      </c>
      <c r="C424" t="s">
        <v>16</v>
      </c>
      <c r="D424" s="6">
        <v>44.98</v>
      </c>
      <c r="E424">
        <v>337.64</v>
      </c>
      <c r="F424">
        <v>576.89</v>
      </c>
      <c r="G424">
        <v>213.23</v>
      </c>
      <c r="H424">
        <v>23.73</v>
      </c>
      <c r="I424" t="s">
        <v>18</v>
      </c>
      <c r="J424" s="1">
        <v>45394</v>
      </c>
      <c r="K424">
        <v>2024</v>
      </c>
    </row>
    <row r="425" spans="1:11" x14ac:dyDescent="0.25">
      <c r="A425">
        <v>469</v>
      </c>
      <c r="B425" t="s">
        <v>34</v>
      </c>
      <c r="C425" t="s">
        <v>12</v>
      </c>
      <c r="D425" s="6">
        <v>52.81</v>
      </c>
      <c r="E425">
        <v>489.02</v>
      </c>
      <c r="F425">
        <v>444.79</v>
      </c>
      <c r="G425">
        <v>193.69</v>
      </c>
      <c r="H425">
        <v>30.02</v>
      </c>
      <c r="I425" t="s">
        <v>22</v>
      </c>
      <c r="J425" s="1">
        <v>45395</v>
      </c>
      <c r="K425">
        <v>2024</v>
      </c>
    </row>
    <row r="426" spans="1:11" x14ac:dyDescent="0.25">
      <c r="A426">
        <v>470</v>
      </c>
      <c r="B426" t="s">
        <v>14</v>
      </c>
      <c r="C426" t="s">
        <v>12</v>
      </c>
      <c r="D426" s="6">
        <v>40.74</v>
      </c>
      <c r="E426">
        <v>549.75</v>
      </c>
      <c r="F426">
        <v>306.07</v>
      </c>
      <c r="G426">
        <v>248.37</v>
      </c>
      <c r="H426">
        <v>32.96</v>
      </c>
      <c r="I426" t="s">
        <v>34</v>
      </c>
      <c r="J426" s="1">
        <v>45396</v>
      </c>
      <c r="K426">
        <v>2024</v>
      </c>
    </row>
    <row r="427" spans="1:11" x14ac:dyDescent="0.25">
      <c r="A427">
        <v>471</v>
      </c>
      <c r="B427" t="s">
        <v>11</v>
      </c>
      <c r="C427" t="s">
        <v>15</v>
      </c>
      <c r="D427" s="6">
        <v>56.42</v>
      </c>
      <c r="E427">
        <v>461.46</v>
      </c>
      <c r="F427">
        <v>519.1</v>
      </c>
      <c r="G427">
        <v>159.87</v>
      </c>
      <c r="H427">
        <v>31.04</v>
      </c>
      <c r="I427" t="s">
        <v>18</v>
      </c>
      <c r="J427" s="1">
        <v>45397</v>
      </c>
      <c r="K427">
        <v>2024</v>
      </c>
    </row>
    <row r="428" spans="1:11" x14ac:dyDescent="0.25">
      <c r="A428">
        <v>472</v>
      </c>
      <c r="B428" t="s">
        <v>14</v>
      </c>
      <c r="C428" t="s">
        <v>19</v>
      </c>
      <c r="D428" s="6">
        <v>62.25</v>
      </c>
      <c r="E428">
        <v>542.04999999999995</v>
      </c>
      <c r="F428">
        <v>625</v>
      </c>
      <c r="G428">
        <v>196.14</v>
      </c>
      <c r="H428">
        <v>26.38</v>
      </c>
      <c r="I428" t="s">
        <v>13</v>
      </c>
      <c r="J428" s="1">
        <v>45398</v>
      </c>
      <c r="K428">
        <v>2024</v>
      </c>
    </row>
    <row r="429" spans="1:11" x14ac:dyDescent="0.25">
      <c r="A429">
        <v>473</v>
      </c>
      <c r="B429" t="s">
        <v>11</v>
      </c>
      <c r="C429" t="s">
        <v>20</v>
      </c>
      <c r="D429" s="6">
        <v>44.17</v>
      </c>
      <c r="E429">
        <v>413.56</v>
      </c>
      <c r="F429">
        <v>616.98</v>
      </c>
      <c r="G429">
        <v>249.79</v>
      </c>
      <c r="H429">
        <v>34.54</v>
      </c>
      <c r="I429" t="s">
        <v>22</v>
      </c>
      <c r="J429" s="1">
        <v>45399</v>
      </c>
      <c r="K429">
        <v>2024</v>
      </c>
    </row>
    <row r="430" spans="1:11" x14ac:dyDescent="0.25">
      <c r="A430">
        <v>474</v>
      </c>
      <c r="B430" t="s">
        <v>14</v>
      </c>
      <c r="C430" t="s">
        <v>12</v>
      </c>
      <c r="D430" s="6">
        <v>178.94</v>
      </c>
      <c r="E430">
        <v>485.91</v>
      </c>
      <c r="F430">
        <v>412.88</v>
      </c>
      <c r="G430">
        <v>226.47</v>
      </c>
      <c r="H430">
        <v>27.96</v>
      </c>
      <c r="I430" t="s">
        <v>22</v>
      </c>
      <c r="J430" s="1">
        <v>45400</v>
      </c>
      <c r="K430">
        <v>2024</v>
      </c>
    </row>
    <row r="431" spans="1:11" x14ac:dyDescent="0.25">
      <c r="A431">
        <v>475</v>
      </c>
      <c r="B431" t="s">
        <v>21</v>
      </c>
      <c r="C431" t="s">
        <v>34</v>
      </c>
      <c r="D431" s="6">
        <v>64.56</v>
      </c>
      <c r="E431">
        <v>531.65</v>
      </c>
      <c r="F431">
        <v>632.29999999999995</v>
      </c>
      <c r="G431">
        <v>176.68</v>
      </c>
      <c r="H431">
        <v>23.33</v>
      </c>
      <c r="I431" t="s">
        <v>22</v>
      </c>
      <c r="J431" s="1">
        <v>45401</v>
      </c>
      <c r="K431">
        <v>2024</v>
      </c>
    </row>
    <row r="432" spans="1:11" x14ac:dyDescent="0.25">
      <c r="A432">
        <v>476</v>
      </c>
      <c r="B432" t="s">
        <v>21</v>
      </c>
      <c r="C432" t="s">
        <v>34</v>
      </c>
      <c r="D432" s="6">
        <v>67.989999999999995</v>
      </c>
      <c r="E432">
        <v>518.97</v>
      </c>
      <c r="F432">
        <v>505.55</v>
      </c>
      <c r="G432">
        <v>124.35</v>
      </c>
      <c r="H432">
        <v>28.58</v>
      </c>
      <c r="I432" t="s">
        <v>18</v>
      </c>
      <c r="J432" s="1">
        <v>45402</v>
      </c>
      <c r="K432">
        <v>2024</v>
      </c>
    </row>
    <row r="433" spans="1:11" x14ac:dyDescent="0.25">
      <c r="A433">
        <v>477</v>
      </c>
      <c r="B433" t="s">
        <v>11</v>
      </c>
      <c r="C433" t="s">
        <v>12</v>
      </c>
      <c r="D433" s="6">
        <v>57.46</v>
      </c>
      <c r="E433">
        <v>339.45</v>
      </c>
      <c r="F433">
        <v>628.94000000000005</v>
      </c>
      <c r="G433">
        <v>215.54</v>
      </c>
      <c r="H433">
        <v>32.93</v>
      </c>
      <c r="I433" t="s">
        <v>18</v>
      </c>
      <c r="J433" s="1">
        <v>45403</v>
      </c>
      <c r="K433">
        <v>2024</v>
      </c>
    </row>
    <row r="434" spans="1:11" x14ac:dyDescent="0.25">
      <c r="A434">
        <v>478</v>
      </c>
      <c r="B434" t="s">
        <v>17</v>
      </c>
      <c r="C434" t="s">
        <v>34</v>
      </c>
      <c r="D434" s="6">
        <v>55.93</v>
      </c>
      <c r="E434">
        <v>456.1</v>
      </c>
      <c r="F434">
        <v>548.84</v>
      </c>
      <c r="G434">
        <v>121.07</v>
      </c>
      <c r="H434">
        <v>26.63</v>
      </c>
      <c r="I434" t="s">
        <v>18</v>
      </c>
      <c r="J434" s="1">
        <v>45404</v>
      </c>
      <c r="K434">
        <v>2024</v>
      </c>
    </row>
    <row r="435" spans="1:11" x14ac:dyDescent="0.25">
      <c r="A435">
        <v>479</v>
      </c>
      <c r="B435" t="s">
        <v>34</v>
      </c>
      <c r="C435" t="s">
        <v>19</v>
      </c>
      <c r="D435" s="6">
        <v>41.46</v>
      </c>
      <c r="E435">
        <v>667.75</v>
      </c>
      <c r="F435">
        <v>297.41000000000003</v>
      </c>
      <c r="G435">
        <v>189.37</v>
      </c>
      <c r="H435">
        <v>34.39</v>
      </c>
      <c r="I435" t="s">
        <v>18</v>
      </c>
      <c r="J435" s="1">
        <v>45405</v>
      </c>
      <c r="K435">
        <v>2024</v>
      </c>
    </row>
    <row r="436" spans="1:11" x14ac:dyDescent="0.25">
      <c r="A436">
        <v>480</v>
      </c>
      <c r="B436" t="s">
        <v>34</v>
      </c>
      <c r="C436" t="s">
        <v>16</v>
      </c>
      <c r="D436" s="6">
        <v>53.59</v>
      </c>
      <c r="E436">
        <v>450.76</v>
      </c>
      <c r="F436">
        <v>689.61</v>
      </c>
      <c r="G436">
        <v>258.95</v>
      </c>
      <c r="H436">
        <v>26.15</v>
      </c>
      <c r="I436" t="s">
        <v>34</v>
      </c>
      <c r="J436" s="1">
        <v>45406</v>
      </c>
      <c r="K436">
        <v>2024</v>
      </c>
    </row>
    <row r="437" spans="1:11" x14ac:dyDescent="0.25">
      <c r="A437">
        <v>481</v>
      </c>
      <c r="B437" t="s">
        <v>11</v>
      </c>
      <c r="C437" t="s">
        <v>34</v>
      </c>
      <c r="D437" s="6">
        <v>55.57</v>
      </c>
      <c r="E437">
        <v>501.58</v>
      </c>
      <c r="F437">
        <v>486.21</v>
      </c>
      <c r="G437">
        <v>229.84</v>
      </c>
      <c r="H437">
        <v>26.83</v>
      </c>
      <c r="I437" t="s">
        <v>13</v>
      </c>
      <c r="J437" s="1">
        <v>45407</v>
      </c>
      <c r="K437">
        <v>2024</v>
      </c>
    </row>
    <row r="438" spans="1:11" x14ac:dyDescent="0.25">
      <c r="A438">
        <v>482</v>
      </c>
      <c r="B438" t="s">
        <v>21</v>
      </c>
      <c r="C438" t="s">
        <v>16</v>
      </c>
      <c r="D438" s="6">
        <v>47.9</v>
      </c>
      <c r="E438">
        <v>491.32</v>
      </c>
      <c r="F438">
        <v>549.22</v>
      </c>
      <c r="G438">
        <v>98.82</v>
      </c>
      <c r="H438">
        <v>24.77</v>
      </c>
      <c r="I438" t="s">
        <v>34</v>
      </c>
      <c r="J438" s="1">
        <v>45408</v>
      </c>
      <c r="K438">
        <v>2024</v>
      </c>
    </row>
    <row r="439" spans="1:11" x14ac:dyDescent="0.25">
      <c r="A439">
        <v>483</v>
      </c>
      <c r="B439" t="s">
        <v>21</v>
      </c>
      <c r="C439" t="s">
        <v>34</v>
      </c>
      <c r="D439" s="6">
        <v>44.05</v>
      </c>
      <c r="E439">
        <v>656.82</v>
      </c>
      <c r="F439">
        <v>318.70999999999998</v>
      </c>
      <c r="G439">
        <v>210.02</v>
      </c>
      <c r="H439">
        <v>33.42</v>
      </c>
      <c r="I439" t="s">
        <v>22</v>
      </c>
      <c r="J439" s="1">
        <v>45409</v>
      </c>
      <c r="K439">
        <v>2024</v>
      </c>
    </row>
    <row r="440" spans="1:11" x14ac:dyDescent="0.25">
      <c r="A440">
        <v>484</v>
      </c>
      <c r="B440" t="s">
        <v>34</v>
      </c>
      <c r="C440" t="s">
        <v>20</v>
      </c>
      <c r="D440" s="6">
        <v>37.19</v>
      </c>
      <c r="E440">
        <v>629.04</v>
      </c>
      <c r="F440">
        <v>540.64</v>
      </c>
      <c r="G440">
        <v>184.04</v>
      </c>
      <c r="H440">
        <v>29.73</v>
      </c>
      <c r="I440" t="s">
        <v>34</v>
      </c>
      <c r="J440" s="1">
        <v>45410</v>
      </c>
      <c r="K440">
        <v>2024</v>
      </c>
    </row>
    <row r="441" spans="1:11" x14ac:dyDescent="0.25">
      <c r="A441">
        <v>485</v>
      </c>
      <c r="B441" t="s">
        <v>34</v>
      </c>
      <c r="C441" t="s">
        <v>20</v>
      </c>
      <c r="D441" s="6">
        <v>32.619999999999997</v>
      </c>
      <c r="E441">
        <v>580.75</v>
      </c>
      <c r="F441">
        <v>612.35</v>
      </c>
      <c r="G441">
        <v>136.31</v>
      </c>
      <c r="H441">
        <v>25.1</v>
      </c>
      <c r="I441" t="s">
        <v>13</v>
      </c>
      <c r="J441" s="1">
        <v>45411</v>
      </c>
      <c r="K441">
        <v>2024</v>
      </c>
    </row>
    <row r="442" spans="1:11" x14ac:dyDescent="0.25">
      <c r="A442">
        <v>487</v>
      </c>
      <c r="B442" t="s">
        <v>17</v>
      </c>
      <c r="C442" t="s">
        <v>16</v>
      </c>
      <c r="D442" s="6">
        <v>55.79</v>
      </c>
      <c r="E442">
        <v>535.91999999999996</v>
      </c>
      <c r="F442">
        <v>648.04999999999995</v>
      </c>
      <c r="G442">
        <v>175.41</v>
      </c>
      <c r="H442">
        <v>14.64</v>
      </c>
      <c r="I442" t="s">
        <v>13</v>
      </c>
      <c r="J442" s="1">
        <v>45413</v>
      </c>
      <c r="K442">
        <v>2024</v>
      </c>
    </row>
    <row r="443" spans="1:11" x14ac:dyDescent="0.25">
      <c r="A443">
        <v>488</v>
      </c>
      <c r="B443" t="s">
        <v>14</v>
      </c>
      <c r="C443" t="s">
        <v>12</v>
      </c>
      <c r="D443" s="6">
        <v>228.7</v>
      </c>
      <c r="E443">
        <v>556.79</v>
      </c>
      <c r="F443">
        <v>546.51</v>
      </c>
      <c r="G443">
        <v>175.72</v>
      </c>
      <c r="H443">
        <v>33.89</v>
      </c>
      <c r="I443" t="s">
        <v>13</v>
      </c>
      <c r="J443" s="1">
        <v>45414</v>
      </c>
      <c r="K443">
        <v>2024</v>
      </c>
    </row>
    <row r="444" spans="1:11" x14ac:dyDescent="0.25">
      <c r="A444">
        <v>489</v>
      </c>
      <c r="B444" t="s">
        <v>21</v>
      </c>
      <c r="C444" t="s">
        <v>16</v>
      </c>
      <c r="D444" s="6">
        <v>45.16</v>
      </c>
      <c r="E444">
        <v>430.14</v>
      </c>
      <c r="F444">
        <v>294.67</v>
      </c>
      <c r="G444">
        <v>206.2</v>
      </c>
      <c r="H444">
        <v>29.15</v>
      </c>
      <c r="I444" t="s">
        <v>22</v>
      </c>
      <c r="J444" s="1">
        <v>45415</v>
      </c>
      <c r="K444">
        <v>2024</v>
      </c>
    </row>
    <row r="445" spans="1:11" x14ac:dyDescent="0.25">
      <c r="A445">
        <v>491</v>
      </c>
      <c r="B445" t="s">
        <v>21</v>
      </c>
      <c r="C445" t="s">
        <v>19</v>
      </c>
      <c r="D445" s="6">
        <v>52.1</v>
      </c>
      <c r="E445">
        <v>670.5</v>
      </c>
      <c r="F445">
        <v>408.9</v>
      </c>
      <c r="G445">
        <v>204.79</v>
      </c>
      <c r="H445">
        <v>22.72</v>
      </c>
      <c r="I445" t="s">
        <v>13</v>
      </c>
      <c r="J445" s="1">
        <v>45417</v>
      </c>
      <c r="K445">
        <v>2024</v>
      </c>
    </row>
    <row r="446" spans="1:11" x14ac:dyDescent="0.25">
      <c r="A446">
        <v>492</v>
      </c>
      <c r="B446" t="s">
        <v>14</v>
      </c>
      <c r="C446" t="s">
        <v>16</v>
      </c>
      <c r="D446" s="6">
        <v>48.35</v>
      </c>
      <c r="E446">
        <v>469.92</v>
      </c>
      <c r="F446">
        <v>508.2</v>
      </c>
      <c r="G446">
        <v>170.33</v>
      </c>
      <c r="H446">
        <v>27.89</v>
      </c>
      <c r="I446" t="s">
        <v>22</v>
      </c>
      <c r="J446" s="1">
        <v>45418</v>
      </c>
      <c r="K446">
        <v>2024</v>
      </c>
    </row>
    <row r="447" spans="1:11" x14ac:dyDescent="0.25">
      <c r="A447">
        <v>493</v>
      </c>
      <c r="B447" t="s">
        <v>21</v>
      </c>
      <c r="C447" t="s">
        <v>19</v>
      </c>
      <c r="D447" s="6">
        <v>36.590000000000003</v>
      </c>
      <c r="E447">
        <v>661.5</v>
      </c>
      <c r="F447">
        <v>334.04</v>
      </c>
      <c r="G447">
        <v>173.08</v>
      </c>
      <c r="H447">
        <v>23.43</v>
      </c>
      <c r="I447" t="s">
        <v>18</v>
      </c>
      <c r="J447" s="1">
        <v>45419</v>
      </c>
      <c r="K447">
        <v>2024</v>
      </c>
    </row>
    <row r="448" spans="1:11" x14ac:dyDescent="0.25">
      <c r="A448">
        <v>494</v>
      </c>
      <c r="B448" t="s">
        <v>21</v>
      </c>
      <c r="C448" t="s">
        <v>20</v>
      </c>
      <c r="D448" s="6">
        <v>59.13</v>
      </c>
      <c r="E448">
        <v>599.71</v>
      </c>
      <c r="F448">
        <v>454.78</v>
      </c>
      <c r="G448">
        <v>249.65</v>
      </c>
      <c r="H448">
        <v>33.97</v>
      </c>
      <c r="I448" t="s">
        <v>13</v>
      </c>
      <c r="J448" s="1">
        <v>45420</v>
      </c>
      <c r="K448">
        <v>2024</v>
      </c>
    </row>
    <row r="449" spans="1:11" x14ac:dyDescent="0.25">
      <c r="A449">
        <v>496</v>
      </c>
      <c r="B449" t="s">
        <v>21</v>
      </c>
      <c r="C449" t="s">
        <v>15</v>
      </c>
      <c r="D449" s="6">
        <v>52.66</v>
      </c>
      <c r="E449">
        <v>545.25</v>
      </c>
      <c r="F449">
        <v>414.22</v>
      </c>
      <c r="G449">
        <v>114.57</v>
      </c>
      <c r="H449">
        <v>31.8</v>
      </c>
      <c r="I449" t="s">
        <v>34</v>
      </c>
    </row>
    <row r="450" spans="1:11" x14ac:dyDescent="0.25">
      <c r="A450">
        <v>497</v>
      </c>
      <c r="B450" t="s">
        <v>14</v>
      </c>
      <c r="C450" t="s">
        <v>16</v>
      </c>
      <c r="D450" s="6">
        <v>58.38</v>
      </c>
      <c r="E450">
        <v>359.96</v>
      </c>
      <c r="F450">
        <v>415.41</v>
      </c>
      <c r="G450">
        <v>237.35</v>
      </c>
      <c r="H450">
        <v>16.98</v>
      </c>
      <c r="I450" t="s">
        <v>18</v>
      </c>
      <c r="J450" s="1">
        <v>45423</v>
      </c>
      <c r="K450">
        <v>2024</v>
      </c>
    </row>
    <row r="451" spans="1:11" x14ac:dyDescent="0.25">
      <c r="A451">
        <v>498</v>
      </c>
      <c r="B451" t="s">
        <v>11</v>
      </c>
      <c r="C451" t="s">
        <v>19</v>
      </c>
      <c r="D451" s="6">
        <v>41.86</v>
      </c>
      <c r="E451">
        <v>520.67999999999995</v>
      </c>
      <c r="F451">
        <v>463.7</v>
      </c>
      <c r="G451">
        <v>269.93</v>
      </c>
      <c r="H451">
        <v>27.37</v>
      </c>
      <c r="I451" t="s">
        <v>13</v>
      </c>
      <c r="J451" s="1">
        <v>45424</v>
      </c>
      <c r="K451">
        <v>2024</v>
      </c>
    </row>
    <row r="452" spans="1:11" x14ac:dyDescent="0.25">
      <c r="A452">
        <v>499</v>
      </c>
      <c r="B452" t="s">
        <v>21</v>
      </c>
      <c r="C452" t="s">
        <v>12</v>
      </c>
      <c r="D452" s="6">
        <v>62.14</v>
      </c>
      <c r="E452">
        <v>641.70000000000005</v>
      </c>
      <c r="F452">
        <v>514.34</v>
      </c>
      <c r="G452">
        <v>277.87</v>
      </c>
      <c r="H452">
        <v>26.51</v>
      </c>
      <c r="I452" t="s">
        <v>13</v>
      </c>
      <c r="J452" s="1">
        <v>45425</v>
      </c>
      <c r="K452">
        <v>2024</v>
      </c>
    </row>
    <row r="453" spans="1:11" x14ac:dyDescent="0.25">
      <c r="A453">
        <v>500</v>
      </c>
      <c r="B453" t="s">
        <v>21</v>
      </c>
      <c r="C453" t="s">
        <v>20</v>
      </c>
      <c r="D453" s="6">
        <v>48.6</v>
      </c>
      <c r="E453">
        <v>568.13</v>
      </c>
      <c r="F453">
        <v>180.18</v>
      </c>
      <c r="G453">
        <v>226.02</v>
      </c>
      <c r="H453">
        <v>25.23</v>
      </c>
      <c r="I453" t="s">
        <v>34</v>
      </c>
      <c r="J453" s="1">
        <v>45426</v>
      </c>
      <c r="K453">
        <v>2024</v>
      </c>
    </row>
    <row r="454" spans="1:11" x14ac:dyDescent="0.25">
      <c r="A454">
        <v>501</v>
      </c>
      <c r="B454" t="s">
        <v>34</v>
      </c>
      <c r="C454" t="s">
        <v>20</v>
      </c>
      <c r="D454" s="6">
        <v>58.89</v>
      </c>
      <c r="E454">
        <v>515.42999999999995</v>
      </c>
      <c r="F454">
        <v>194.83</v>
      </c>
      <c r="G454">
        <v>147.13</v>
      </c>
      <c r="H454">
        <v>27.92</v>
      </c>
      <c r="I454" t="s">
        <v>34</v>
      </c>
      <c r="J454" s="1">
        <v>45427</v>
      </c>
      <c r="K454">
        <v>2024</v>
      </c>
    </row>
    <row r="455" spans="1:11" x14ac:dyDescent="0.25">
      <c r="A455">
        <v>503</v>
      </c>
      <c r="B455" t="s">
        <v>17</v>
      </c>
      <c r="C455" t="s">
        <v>19</v>
      </c>
      <c r="D455" s="6">
        <v>39.61</v>
      </c>
      <c r="E455">
        <v>481.5</v>
      </c>
      <c r="F455">
        <v>456.27</v>
      </c>
      <c r="G455">
        <v>156.54</v>
      </c>
      <c r="H455">
        <v>31.08</v>
      </c>
      <c r="I455" t="s">
        <v>18</v>
      </c>
      <c r="J455" s="1">
        <v>45429</v>
      </c>
      <c r="K455">
        <v>2024</v>
      </c>
    </row>
    <row r="456" spans="1:11" x14ac:dyDescent="0.25">
      <c r="A456">
        <v>504</v>
      </c>
      <c r="B456" t="s">
        <v>11</v>
      </c>
      <c r="C456" t="s">
        <v>19</v>
      </c>
      <c r="D456" s="6">
        <v>55.03</v>
      </c>
      <c r="E456">
        <v>438.04</v>
      </c>
      <c r="F456">
        <v>502.69</v>
      </c>
      <c r="G456">
        <v>182.85</v>
      </c>
      <c r="H456">
        <v>33.83</v>
      </c>
      <c r="I456" t="s">
        <v>22</v>
      </c>
      <c r="J456" s="1">
        <v>45430</v>
      </c>
      <c r="K456">
        <v>2024</v>
      </c>
    </row>
    <row r="457" spans="1:11" x14ac:dyDescent="0.25">
      <c r="A457">
        <v>505</v>
      </c>
      <c r="B457" t="s">
        <v>14</v>
      </c>
      <c r="C457" t="s">
        <v>16</v>
      </c>
      <c r="D457" s="6">
        <v>53.26</v>
      </c>
      <c r="E457">
        <v>515.38</v>
      </c>
      <c r="F457">
        <v>392.68</v>
      </c>
      <c r="G457">
        <v>219.15</v>
      </c>
      <c r="H457">
        <v>33.4</v>
      </c>
      <c r="I457" t="s">
        <v>34</v>
      </c>
      <c r="J457" s="1">
        <v>45431</v>
      </c>
      <c r="K457">
        <v>2024</v>
      </c>
    </row>
    <row r="458" spans="1:11" x14ac:dyDescent="0.25">
      <c r="A458">
        <v>506</v>
      </c>
      <c r="B458" t="s">
        <v>14</v>
      </c>
      <c r="C458" t="s">
        <v>16</v>
      </c>
      <c r="D458" s="6">
        <v>50.3</v>
      </c>
      <c r="E458">
        <v>576.65</v>
      </c>
      <c r="F458">
        <v>481.14</v>
      </c>
      <c r="G458">
        <v>159.76</v>
      </c>
      <c r="H458">
        <v>29.31</v>
      </c>
      <c r="I458" t="s">
        <v>34</v>
      </c>
      <c r="J458" s="1">
        <v>45432</v>
      </c>
      <c r="K458">
        <v>2024</v>
      </c>
    </row>
    <row r="459" spans="1:11" x14ac:dyDescent="0.25">
      <c r="A459">
        <v>507</v>
      </c>
      <c r="B459" t="s">
        <v>14</v>
      </c>
      <c r="C459" t="s">
        <v>34</v>
      </c>
      <c r="D459" s="6">
        <v>49.06</v>
      </c>
      <c r="E459">
        <v>328.22</v>
      </c>
      <c r="F459">
        <v>495.18</v>
      </c>
      <c r="G459">
        <v>142.68</v>
      </c>
      <c r="H459">
        <v>40</v>
      </c>
      <c r="I459" t="s">
        <v>34</v>
      </c>
      <c r="J459" s="1">
        <v>45433</v>
      </c>
      <c r="K459">
        <v>2024</v>
      </c>
    </row>
    <row r="460" spans="1:11" x14ac:dyDescent="0.25">
      <c r="A460">
        <v>508</v>
      </c>
      <c r="B460" t="s">
        <v>11</v>
      </c>
      <c r="C460" t="s">
        <v>34</v>
      </c>
      <c r="D460" s="6">
        <v>49.14</v>
      </c>
      <c r="E460">
        <v>528.49</v>
      </c>
      <c r="F460">
        <v>391.85</v>
      </c>
      <c r="G460">
        <v>223.29</v>
      </c>
      <c r="H460">
        <v>35.700000000000003</v>
      </c>
      <c r="I460" t="s">
        <v>13</v>
      </c>
      <c r="J460" s="1">
        <v>45434</v>
      </c>
      <c r="K460">
        <v>2024</v>
      </c>
    </row>
    <row r="461" spans="1:11" x14ac:dyDescent="0.25">
      <c r="A461">
        <v>509</v>
      </c>
      <c r="B461" t="s">
        <v>11</v>
      </c>
      <c r="C461" t="s">
        <v>15</v>
      </c>
      <c r="D461" s="6">
        <v>58.13</v>
      </c>
      <c r="E461">
        <v>581.03</v>
      </c>
      <c r="F461">
        <v>601.61</v>
      </c>
      <c r="G461">
        <v>293.36</v>
      </c>
      <c r="H461">
        <v>29.49</v>
      </c>
      <c r="I461" t="s">
        <v>18</v>
      </c>
      <c r="J461" s="1">
        <v>45435</v>
      </c>
      <c r="K461">
        <v>2024</v>
      </c>
    </row>
    <row r="462" spans="1:11" x14ac:dyDescent="0.25">
      <c r="A462">
        <v>510</v>
      </c>
      <c r="B462" t="s">
        <v>11</v>
      </c>
      <c r="C462" t="s">
        <v>20</v>
      </c>
      <c r="D462" s="6">
        <v>55.78</v>
      </c>
      <c r="E462">
        <v>473.04</v>
      </c>
      <c r="F462">
        <v>501.24</v>
      </c>
      <c r="G462">
        <v>262.16000000000003</v>
      </c>
      <c r="H462">
        <v>27.59</v>
      </c>
      <c r="I462" t="s">
        <v>18</v>
      </c>
      <c r="J462" s="1">
        <v>45436</v>
      </c>
      <c r="K462">
        <v>2024</v>
      </c>
    </row>
    <row r="463" spans="1:11" x14ac:dyDescent="0.25">
      <c r="A463">
        <v>511</v>
      </c>
      <c r="B463" t="s">
        <v>14</v>
      </c>
      <c r="C463" t="s">
        <v>16</v>
      </c>
      <c r="D463" s="6">
        <v>50.3</v>
      </c>
      <c r="E463">
        <v>610.70000000000005</v>
      </c>
      <c r="F463">
        <v>545.64</v>
      </c>
      <c r="G463">
        <v>235.36</v>
      </c>
      <c r="H463">
        <v>36.69</v>
      </c>
      <c r="I463" t="s">
        <v>18</v>
      </c>
      <c r="J463" s="1">
        <v>45437</v>
      </c>
      <c r="K463">
        <v>2024</v>
      </c>
    </row>
    <row r="464" spans="1:11" x14ac:dyDescent="0.25">
      <c r="A464">
        <v>512</v>
      </c>
      <c r="B464" t="s">
        <v>34</v>
      </c>
      <c r="C464" t="s">
        <v>19</v>
      </c>
      <c r="D464" s="6">
        <v>35.08</v>
      </c>
      <c r="E464">
        <v>564.12</v>
      </c>
      <c r="F464">
        <v>488.26</v>
      </c>
      <c r="G464">
        <v>248.96</v>
      </c>
      <c r="H464">
        <v>35.04</v>
      </c>
      <c r="I464" t="s">
        <v>18</v>
      </c>
      <c r="J464" s="1">
        <v>45438</v>
      </c>
      <c r="K464">
        <v>2024</v>
      </c>
    </row>
    <row r="465" spans="1:11" x14ac:dyDescent="0.25">
      <c r="A465">
        <v>513</v>
      </c>
      <c r="B465" t="s">
        <v>11</v>
      </c>
      <c r="C465" t="s">
        <v>12</v>
      </c>
      <c r="D465" s="6">
        <v>54.94</v>
      </c>
      <c r="E465">
        <v>714.14</v>
      </c>
      <c r="F465">
        <v>732.44</v>
      </c>
      <c r="G465">
        <v>231.89</v>
      </c>
      <c r="H465">
        <v>22.95</v>
      </c>
      <c r="I465" t="s">
        <v>18</v>
      </c>
      <c r="J465" s="1">
        <v>45439</v>
      </c>
      <c r="K465">
        <v>2024</v>
      </c>
    </row>
    <row r="466" spans="1:11" x14ac:dyDescent="0.25">
      <c r="A466">
        <v>515</v>
      </c>
      <c r="B466" t="s">
        <v>14</v>
      </c>
      <c r="C466" t="s">
        <v>20</v>
      </c>
      <c r="D466" s="6">
        <v>73</v>
      </c>
      <c r="E466">
        <v>583.07000000000005</v>
      </c>
      <c r="F466">
        <v>421.44</v>
      </c>
      <c r="G466">
        <v>244.93</v>
      </c>
      <c r="H466">
        <v>29.23</v>
      </c>
      <c r="I466" t="s">
        <v>34</v>
      </c>
      <c r="J466" s="1">
        <v>45441</v>
      </c>
      <c r="K466">
        <v>2024</v>
      </c>
    </row>
    <row r="467" spans="1:11" x14ac:dyDescent="0.25">
      <c r="A467">
        <v>516</v>
      </c>
      <c r="B467" t="s">
        <v>11</v>
      </c>
      <c r="C467" t="s">
        <v>34</v>
      </c>
      <c r="D467" s="6">
        <v>60.75</v>
      </c>
      <c r="E467">
        <v>398.27</v>
      </c>
      <c r="F467">
        <v>578.52</v>
      </c>
      <c r="G467">
        <v>131.58000000000001</v>
      </c>
      <c r="H467">
        <v>25.7</v>
      </c>
      <c r="I467" t="s">
        <v>13</v>
      </c>
      <c r="J467" s="1">
        <v>45442</v>
      </c>
      <c r="K467">
        <v>2024</v>
      </c>
    </row>
    <row r="468" spans="1:11" x14ac:dyDescent="0.25">
      <c r="A468">
        <v>517</v>
      </c>
      <c r="B468" t="s">
        <v>21</v>
      </c>
      <c r="C468" t="s">
        <v>19</v>
      </c>
      <c r="D468" s="6">
        <v>31.01</v>
      </c>
      <c r="E468">
        <v>338.46</v>
      </c>
      <c r="F468">
        <v>283.49</v>
      </c>
      <c r="G468">
        <v>209.97</v>
      </c>
      <c r="H468">
        <v>20.100000000000001</v>
      </c>
      <c r="I468" t="s">
        <v>13</v>
      </c>
      <c r="J468" s="1">
        <v>45443</v>
      </c>
      <c r="K468">
        <v>2024</v>
      </c>
    </row>
    <row r="469" spans="1:11" x14ac:dyDescent="0.25">
      <c r="A469">
        <v>518</v>
      </c>
      <c r="B469" t="s">
        <v>34</v>
      </c>
      <c r="C469" t="s">
        <v>15</v>
      </c>
      <c r="D469" s="6">
        <v>50.78</v>
      </c>
      <c r="E469">
        <v>296.45</v>
      </c>
      <c r="F469">
        <v>494.35</v>
      </c>
      <c r="G469">
        <v>195.95</v>
      </c>
      <c r="H469">
        <v>28.66</v>
      </c>
      <c r="I469" t="s">
        <v>22</v>
      </c>
      <c r="J469" s="1">
        <v>45444</v>
      </c>
      <c r="K469">
        <v>2024</v>
      </c>
    </row>
    <row r="470" spans="1:11" x14ac:dyDescent="0.25">
      <c r="A470">
        <v>520</v>
      </c>
      <c r="B470" t="s">
        <v>34</v>
      </c>
      <c r="C470" t="s">
        <v>34</v>
      </c>
      <c r="D470" s="6">
        <v>56.24</v>
      </c>
      <c r="E470">
        <v>518.41999999999996</v>
      </c>
      <c r="F470">
        <v>495.72</v>
      </c>
      <c r="G470">
        <v>176.93</v>
      </c>
      <c r="H470">
        <v>37.94</v>
      </c>
      <c r="I470" t="s">
        <v>13</v>
      </c>
      <c r="J470" s="1">
        <v>45446</v>
      </c>
      <c r="K470">
        <v>2024</v>
      </c>
    </row>
    <row r="471" spans="1:11" x14ac:dyDescent="0.25">
      <c r="A471">
        <v>521</v>
      </c>
      <c r="B471" t="s">
        <v>11</v>
      </c>
      <c r="C471" t="s">
        <v>12</v>
      </c>
      <c r="D471" s="6">
        <v>53.29</v>
      </c>
      <c r="E471">
        <v>452.09</v>
      </c>
      <c r="F471">
        <v>439.95</v>
      </c>
      <c r="G471">
        <v>226.02</v>
      </c>
      <c r="H471">
        <v>34.79</v>
      </c>
      <c r="I471" t="s">
        <v>34</v>
      </c>
    </row>
    <row r="472" spans="1:11" x14ac:dyDescent="0.25">
      <c r="A472">
        <v>523</v>
      </c>
      <c r="B472" t="s">
        <v>34</v>
      </c>
      <c r="C472" t="s">
        <v>15</v>
      </c>
      <c r="D472" s="6">
        <v>43.78</v>
      </c>
      <c r="E472">
        <v>430.96</v>
      </c>
      <c r="F472">
        <v>385.28</v>
      </c>
      <c r="G472">
        <v>173.31</v>
      </c>
      <c r="H472">
        <v>31.95</v>
      </c>
      <c r="I472" t="s">
        <v>13</v>
      </c>
      <c r="J472" s="1">
        <v>45449</v>
      </c>
      <c r="K472">
        <v>2024</v>
      </c>
    </row>
    <row r="473" spans="1:11" x14ac:dyDescent="0.25">
      <c r="A473">
        <v>524</v>
      </c>
      <c r="B473" t="s">
        <v>11</v>
      </c>
      <c r="C473" t="s">
        <v>20</v>
      </c>
      <c r="D473" s="6">
        <v>54.78</v>
      </c>
      <c r="E473">
        <v>500.41</v>
      </c>
      <c r="F473">
        <v>492.25</v>
      </c>
      <c r="G473">
        <v>167.31</v>
      </c>
      <c r="H473">
        <v>34.130000000000003</v>
      </c>
      <c r="I473" t="s">
        <v>22</v>
      </c>
      <c r="J473" s="1">
        <v>45450</v>
      </c>
      <c r="K473">
        <v>2024</v>
      </c>
    </row>
    <row r="474" spans="1:11" x14ac:dyDescent="0.25">
      <c r="A474">
        <v>525</v>
      </c>
      <c r="B474" t="s">
        <v>21</v>
      </c>
      <c r="C474" t="s">
        <v>12</v>
      </c>
      <c r="D474" s="6">
        <v>47.5</v>
      </c>
      <c r="E474">
        <v>579.32000000000005</v>
      </c>
      <c r="F474">
        <v>346.38</v>
      </c>
      <c r="G474">
        <v>243.2</v>
      </c>
      <c r="H474">
        <v>30.43</v>
      </c>
      <c r="I474" t="s">
        <v>13</v>
      </c>
      <c r="J474" s="1">
        <v>45451</v>
      </c>
      <c r="K474">
        <v>2024</v>
      </c>
    </row>
    <row r="475" spans="1:11" x14ac:dyDescent="0.25">
      <c r="A475">
        <v>526</v>
      </c>
      <c r="B475" t="s">
        <v>21</v>
      </c>
      <c r="C475" t="s">
        <v>15</v>
      </c>
      <c r="D475" s="6">
        <v>49.8</v>
      </c>
      <c r="E475">
        <v>498.35</v>
      </c>
      <c r="F475">
        <v>692.42</v>
      </c>
      <c r="G475">
        <v>199.41</v>
      </c>
      <c r="H475">
        <v>27.06</v>
      </c>
      <c r="I475" t="s">
        <v>13</v>
      </c>
      <c r="J475" s="1">
        <v>45452</v>
      </c>
      <c r="K475">
        <v>2024</v>
      </c>
    </row>
    <row r="476" spans="1:11" x14ac:dyDescent="0.25">
      <c r="A476">
        <v>527</v>
      </c>
      <c r="B476" t="s">
        <v>17</v>
      </c>
      <c r="C476" t="s">
        <v>34</v>
      </c>
      <c r="D476" s="6">
        <v>58.28</v>
      </c>
      <c r="E476">
        <v>525.21</v>
      </c>
      <c r="F476">
        <v>163.09</v>
      </c>
      <c r="G476">
        <v>176.96</v>
      </c>
      <c r="H476">
        <v>27.34</v>
      </c>
      <c r="I476" t="s">
        <v>22</v>
      </c>
    </row>
    <row r="477" spans="1:11" x14ac:dyDescent="0.25">
      <c r="A477">
        <v>528</v>
      </c>
      <c r="B477" t="s">
        <v>14</v>
      </c>
      <c r="C477" t="s">
        <v>15</v>
      </c>
      <c r="D477" s="6">
        <v>40.729999999999997</v>
      </c>
      <c r="E477">
        <v>462.39</v>
      </c>
      <c r="F477">
        <v>441.19</v>
      </c>
      <c r="G477">
        <v>181.33</v>
      </c>
      <c r="H477">
        <v>31.93</v>
      </c>
      <c r="I477" t="s">
        <v>13</v>
      </c>
      <c r="J477" s="1">
        <v>45454</v>
      </c>
      <c r="K477">
        <v>2024</v>
      </c>
    </row>
    <row r="478" spans="1:11" x14ac:dyDescent="0.25">
      <c r="A478">
        <v>529</v>
      </c>
      <c r="B478" t="s">
        <v>34</v>
      </c>
      <c r="C478" t="s">
        <v>20</v>
      </c>
      <c r="D478" s="6">
        <v>62.88</v>
      </c>
      <c r="E478">
        <v>674.92</v>
      </c>
      <c r="F478">
        <v>493.25</v>
      </c>
      <c r="G478">
        <v>200.19</v>
      </c>
      <c r="H478">
        <v>32.06</v>
      </c>
      <c r="I478" t="s">
        <v>13</v>
      </c>
      <c r="J478" s="1">
        <v>45455</v>
      </c>
      <c r="K478">
        <v>2024</v>
      </c>
    </row>
    <row r="479" spans="1:11" x14ac:dyDescent="0.25">
      <c r="A479">
        <v>530</v>
      </c>
      <c r="B479" t="s">
        <v>17</v>
      </c>
      <c r="C479" t="s">
        <v>16</v>
      </c>
      <c r="D479" s="6">
        <v>45.77</v>
      </c>
      <c r="E479">
        <v>398.18</v>
      </c>
      <c r="F479">
        <v>540.89</v>
      </c>
      <c r="G479">
        <v>281.11</v>
      </c>
      <c r="H479">
        <v>28.54</v>
      </c>
      <c r="I479" t="s">
        <v>34</v>
      </c>
      <c r="J479" s="1">
        <v>45456</v>
      </c>
      <c r="K479">
        <v>2024</v>
      </c>
    </row>
    <row r="480" spans="1:11" x14ac:dyDescent="0.25">
      <c r="A480">
        <v>531</v>
      </c>
      <c r="B480" t="s">
        <v>11</v>
      </c>
      <c r="C480" t="s">
        <v>15</v>
      </c>
      <c r="D480" s="6">
        <v>263.02999999999997</v>
      </c>
      <c r="E480">
        <v>1720.3</v>
      </c>
      <c r="F480">
        <v>370.09</v>
      </c>
      <c r="G480">
        <v>138.16999999999999</v>
      </c>
      <c r="H480">
        <v>16.899999999999999</v>
      </c>
      <c r="I480" t="s">
        <v>13</v>
      </c>
      <c r="J480" s="1">
        <v>45457</v>
      </c>
      <c r="K480">
        <v>2024</v>
      </c>
    </row>
    <row r="481" spans="1:11" x14ac:dyDescent="0.25">
      <c r="A481">
        <v>532</v>
      </c>
      <c r="B481" t="s">
        <v>21</v>
      </c>
      <c r="C481" t="s">
        <v>15</v>
      </c>
      <c r="D481" s="6">
        <v>35.99</v>
      </c>
      <c r="E481">
        <v>450.76</v>
      </c>
      <c r="F481">
        <v>616.12</v>
      </c>
      <c r="G481">
        <v>233.78</v>
      </c>
      <c r="H481">
        <v>23.55</v>
      </c>
      <c r="I481" t="s">
        <v>13</v>
      </c>
      <c r="J481" s="1">
        <v>45458</v>
      </c>
      <c r="K481">
        <v>2024</v>
      </c>
    </row>
    <row r="482" spans="1:11" x14ac:dyDescent="0.25">
      <c r="A482">
        <v>533</v>
      </c>
      <c r="B482" t="s">
        <v>34</v>
      </c>
      <c r="C482" t="s">
        <v>34</v>
      </c>
      <c r="D482" s="6">
        <v>57.2</v>
      </c>
      <c r="E482">
        <v>554.27</v>
      </c>
      <c r="F482">
        <v>312.74</v>
      </c>
      <c r="G482">
        <v>223.59</v>
      </c>
      <c r="H482">
        <v>33.1</v>
      </c>
      <c r="I482" t="s">
        <v>34</v>
      </c>
      <c r="J482" s="1">
        <v>45459</v>
      </c>
      <c r="K482">
        <v>2024</v>
      </c>
    </row>
    <row r="483" spans="1:11" x14ac:dyDescent="0.25">
      <c r="A483">
        <v>534</v>
      </c>
      <c r="B483" t="s">
        <v>21</v>
      </c>
      <c r="C483" t="s">
        <v>34</v>
      </c>
      <c r="D483" s="6">
        <v>64.47</v>
      </c>
      <c r="E483">
        <v>396.11</v>
      </c>
      <c r="F483">
        <v>412.06</v>
      </c>
      <c r="G483">
        <v>155.85</v>
      </c>
      <c r="H483">
        <v>19.350000000000001</v>
      </c>
      <c r="I483" t="s">
        <v>13</v>
      </c>
      <c r="J483" s="1">
        <v>45460</v>
      </c>
      <c r="K483">
        <v>2024</v>
      </c>
    </row>
    <row r="484" spans="1:11" x14ac:dyDescent="0.25">
      <c r="A484">
        <v>535</v>
      </c>
      <c r="B484" t="s">
        <v>14</v>
      </c>
      <c r="C484" t="s">
        <v>12</v>
      </c>
      <c r="D484" s="6">
        <v>44.85</v>
      </c>
      <c r="E484">
        <v>513.57000000000005</v>
      </c>
      <c r="F484">
        <v>554.49</v>
      </c>
      <c r="G484">
        <v>273.33999999999997</v>
      </c>
      <c r="H484">
        <v>35.92</v>
      </c>
      <c r="I484" t="s">
        <v>34</v>
      </c>
      <c r="J484" s="1">
        <v>45461</v>
      </c>
      <c r="K484">
        <v>2024</v>
      </c>
    </row>
    <row r="485" spans="1:11" x14ac:dyDescent="0.25">
      <c r="A485">
        <v>536</v>
      </c>
      <c r="B485" t="s">
        <v>21</v>
      </c>
      <c r="C485" t="s">
        <v>34</v>
      </c>
      <c r="D485" s="6">
        <v>38.9</v>
      </c>
      <c r="E485">
        <v>516.49</v>
      </c>
      <c r="F485">
        <v>604.82000000000005</v>
      </c>
      <c r="G485">
        <v>226.96</v>
      </c>
      <c r="H485">
        <v>35.18</v>
      </c>
      <c r="I485" t="s">
        <v>34</v>
      </c>
      <c r="J485" s="1">
        <v>45462</v>
      </c>
      <c r="K485">
        <v>2024</v>
      </c>
    </row>
    <row r="486" spans="1:11" x14ac:dyDescent="0.25">
      <c r="A486">
        <v>537</v>
      </c>
      <c r="B486" t="s">
        <v>14</v>
      </c>
      <c r="C486" t="s">
        <v>19</v>
      </c>
      <c r="D486" s="6">
        <v>52.78</v>
      </c>
      <c r="E486">
        <v>430.56</v>
      </c>
      <c r="F486">
        <v>311.52</v>
      </c>
      <c r="G486">
        <v>174.61</v>
      </c>
      <c r="H486">
        <v>30.21</v>
      </c>
      <c r="I486" t="s">
        <v>34</v>
      </c>
      <c r="J486" s="1">
        <v>45463</v>
      </c>
      <c r="K486">
        <v>2024</v>
      </c>
    </row>
    <row r="487" spans="1:11" x14ac:dyDescent="0.25">
      <c r="A487">
        <v>538</v>
      </c>
      <c r="B487" t="s">
        <v>21</v>
      </c>
      <c r="C487" t="s">
        <v>20</v>
      </c>
      <c r="D487" s="6">
        <v>194.73</v>
      </c>
      <c r="E487">
        <v>533</v>
      </c>
      <c r="F487">
        <v>797.4</v>
      </c>
      <c r="G487">
        <v>107.03</v>
      </c>
      <c r="H487">
        <v>32.99</v>
      </c>
      <c r="I487" t="s">
        <v>13</v>
      </c>
      <c r="J487" s="1">
        <v>45464</v>
      </c>
      <c r="K487">
        <v>2024</v>
      </c>
    </row>
    <row r="488" spans="1:11" x14ac:dyDescent="0.25">
      <c r="A488">
        <v>539</v>
      </c>
      <c r="B488" t="s">
        <v>34</v>
      </c>
      <c r="C488" t="s">
        <v>20</v>
      </c>
      <c r="D488" s="6">
        <v>35.5</v>
      </c>
      <c r="E488">
        <v>399.22</v>
      </c>
      <c r="F488">
        <v>372.3</v>
      </c>
      <c r="G488">
        <v>211.46</v>
      </c>
      <c r="H488">
        <v>32.64</v>
      </c>
      <c r="I488" t="s">
        <v>22</v>
      </c>
      <c r="J488" s="1">
        <v>45465</v>
      </c>
      <c r="K488">
        <v>2024</v>
      </c>
    </row>
    <row r="489" spans="1:11" x14ac:dyDescent="0.25">
      <c r="A489">
        <v>540</v>
      </c>
      <c r="B489" t="s">
        <v>34</v>
      </c>
      <c r="C489" t="s">
        <v>16</v>
      </c>
      <c r="D489" s="6">
        <v>38.94</v>
      </c>
      <c r="E489">
        <v>388.29</v>
      </c>
      <c r="F489">
        <v>322.54000000000002</v>
      </c>
      <c r="G489">
        <v>197.76</v>
      </c>
      <c r="H489">
        <v>29.42</v>
      </c>
      <c r="I489" t="s">
        <v>13</v>
      </c>
      <c r="J489" s="1">
        <v>45466</v>
      </c>
      <c r="K489">
        <v>2024</v>
      </c>
    </row>
    <row r="490" spans="1:11" x14ac:dyDescent="0.25">
      <c r="A490">
        <v>541</v>
      </c>
      <c r="B490" t="s">
        <v>14</v>
      </c>
      <c r="C490" t="s">
        <v>16</v>
      </c>
      <c r="D490" s="6">
        <v>45.46</v>
      </c>
      <c r="E490">
        <v>509.96</v>
      </c>
      <c r="F490">
        <v>540.33000000000004</v>
      </c>
      <c r="G490">
        <v>148.46</v>
      </c>
      <c r="H490">
        <v>23.13</v>
      </c>
      <c r="I490" t="s">
        <v>34</v>
      </c>
      <c r="J490" s="1">
        <v>45467</v>
      </c>
      <c r="K490">
        <v>2024</v>
      </c>
    </row>
    <row r="491" spans="1:11" x14ac:dyDescent="0.25">
      <c r="A491">
        <v>542</v>
      </c>
      <c r="B491" t="s">
        <v>11</v>
      </c>
      <c r="C491" t="s">
        <v>20</v>
      </c>
      <c r="D491" s="6">
        <v>41.8</v>
      </c>
      <c r="E491">
        <v>334.02</v>
      </c>
      <c r="F491">
        <v>438.2</v>
      </c>
      <c r="G491">
        <v>147.82</v>
      </c>
      <c r="H491">
        <v>34.840000000000003</v>
      </c>
      <c r="I491" t="s">
        <v>22</v>
      </c>
      <c r="J491" s="1">
        <v>45468</v>
      </c>
      <c r="K491">
        <v>2024</v>
      </c>
    </row>
    <row r="492" spans="1:11" x14ac:dyDescent="0.25">
      <c r="A492">
        <v>544</v>
      </c>
      <c r="B492" t="s">
        <v>14</v>
      </c>
      <c r="C492" t="s">
        <v>12</v>
      </c>
      <c r="D492" s="6">
        <v>29.06</v>
      </c>
      <c r="E492">
        <v>553.28</v>
      </c>
      <c r="F492">
        <v>551.48</v>
      </c>
      <c r="G492">
        <v>102.22</v>
      </c>
      <c r="H492">
        <v>23.96</v>
      </c>
      <c r="I492" t="s">
        <v>34</v>
      </c>
      <c r="J492" s="1">
        <v>45470</v>
      </c>
      <c r="K492">
        <v>2024</v>
      </c>
    </row>
    <row r="493" spans="1:11" x14ac:dyDescent="0.25">
      <c r="A493">
        <v>545</v>
      </c>
      <c r="B493" t="s">
        <v>21</v>
      </c>
      <c r="C493" t="s">
        <v>34</v>
      </c>
      <c r="D493" s="6">
        <v>279.45</v>
      </c>
      <c r="E493">
        <v>2419.59</v>
      </c>
      <c r="F493">
        <v>296.72000000000003</v>
      </c>
      <c r="G493">
        <v>215.71</v>
      </c>
      <c r="H493">
        <v>22.94</v>
      </c>
      <c r="I493" t="s">
        <v>22</v>
      </c>
      <c r="J493" s="1">
        <v>45471</v>
      </c>
      <c r="K493">
        <v>2024</v>
      </c>
    </row>
    <row r="494" spans="1:11" x14ac:dyDescent="0.25">
      <c r="A494">
        <v>547</v>
      </c>
      <c r="B494" t="s">
        <v>14</v>
      </c>
      <c r="C494" t="s">
        <v>34</v>
      </c>
      <c r="D494" s="6">
        <v>33.01</v>
      </c>
      <c r="E494">
        <v>433.19</v>
      </c>
      <c r="F494">
        <v>408.31</v>
      </c>
      <c r="G494">
        <v>224.86</v>
      </c>
      <c r="H494">
        <v>26.87</v>
      </c>
      <c r="I494" t="s">
        <v>13</v>
      </c>
      <c r="J494" s="1">
        <v>45473</v>
      </c>
      <c r="K494">
        <v>2024</v>
      </c>
    </row>
    <row r="495" spans="1:11" x14ac:dyDescent="0.25">
      <c r="A495">
        <v>549</v>
      </c>
      <c r="B495" t="s">
        <v>21</v>
      </c>
      <c r="C495" t="s">
        <v>19</v>
      </c>
      <c r="D495" s="6">
        <v>66.81</v>
      </c>
      <c r="E495">
        <v>385.45</v>
      </c>
      <c r="F495">
        <v>413.51</v>
      </c>
      <c r="G495">
        <v>214.66</v>
      </c>
      <c r="H495">
        <v>36.04</v>
      </c>
      <c r="I495" t="s">
        <v>34</v>
      </c>
      <c r="J495" s="1">
        <v>45475</v>
      </c>
      <c r="K495">
        <v>2024</v>
      </c>
    </row>
    <row r="496" spans="1:11" x14ac:dyDescent="0.25">
      <c r="A496">
        <v>550</v>
      </c>
      <c r="B496" t="s">
        <v>21</v>
      </c>
      <c r="C496" t="s">
        <v>15</v>
      </c>
      <c r="D496" s="6">
        <v>42.49</v>
      </c>
      <c r="E496">
        <v>363.66</v>
      </c>
      <c r="F496">
        <v>671.9</v>
      </c>
      <c r="G496">
        <v>162.86000000000001</v>
      </c>
      <c r="H496">
        <v>18.77</v>
      </c>
      <c r="I496" t="s">
        <v>18</v>
      </c>
      <c r="J496" s="1">
        <v>45476</v>
      </c>
      <c r="K496">
        <v>2024</v>
      </c>
    </row>
    <row r="497" spans="1:11" x14ac:dyDescent="0.25">
      <c r="A497">
        <v>551</v>
      </c>
      <c r="B497" t="s">
        <v>21</v>
      </c>
      <c r="C497" t="s">
        <v>34</v>
      </c>
      <c r="D497" s="6">
        <v>61.67</v>
      </c>
      <c r="E497">
        <v>570.76</v>
      </c>
      <c r="F497">
        <v>624.12</v>
      </c>
      <c r="G497">
        <v>197.54</v>
      </c>
      <c r="H497">
        <v>37.909999999999997</v>
      </c>
      <c r="I497" t="s">
        <v>18</v>
      </c>
      <c r="J497" s="1">
        <v>45477</v>
      </c>
      <c r="K497">
        <v>2024</v>
      </c>
    </row>
    <row r="498" spans="1:11" x14ac:dyDescent="0.25">
      <c r="A498">
        <v>552</v>
      </c>
      <c r="B498" t="s">
        <v>14</v>
      </c>
      <c r="C498" t="s">
        <v>20</v>
      </c>
      <c r="D498" s="6">
        <v>44.27</v>
      </c>
      <c r="E498">
        <v>500.9</v>
      </c>
      <c r="F498">
        <v>513.95000000000005</v>
      </c>
      <c r="G498">
        <v>224.45</v>
      </c>
      <c r="H498">
        <v>27.97</v>
      </c>
      <c r="I498" t="s">
        <v>18</v>
      </c>
      <c r="J498" s="1">
        <v>45478</v>
      </c>
      <c r="K498">
        <v>2024</v>
      </c>
    </row>
    <row r="499" spans="1:11" x14ac:dyDescent="0.25">
      <c r="A499">
        <v>553</v>
      </c>
      <c r="B499" t="s">
        <v>14</v>
      </c>
      <c r="C499" t="s">
        <v>15</v>
      </c>
      <c r="D499" s="6">
        <v>51.81</v>
      </c>
      <c r="E499">
        <v>606.49</v>
      </c>
      <c r="F499">
        <v>520.77</v>
      </c>
      <c r="G499">
        <v>207.54</v>
      </c>
      <c r="H499">
        <v>32.56</v>
      </c>
      <c r="I499" t="s">
        <v>34</v>
      </c>
      <c r="J499" s="1">
        <v>45479</v>
      </c>
      <c r="K499">
        <v>2024</v>
      </c>
    </row>
    <row r="500" spans="1:11" x14ac:dyDescent="0.25">
      <c r="A500">
        <v>554</v>
      </c>
      <c r="B500" t="s">
        <v>14</v>
      </c>
      <c r="C500" t="s">
        <v>16</v>
      </c>
      <c r="D500" s="6">
        <v>41.64</v>
      </c>
      <c r="E500">
        <v>285.97000000000003</v>
      </c>
      <c r="F500">
        <v>513.84</v>
      </c>
      <c r="G500">
        <v>219.02</v>
      </c>
      <c r="H500">
        <v>33.090000000000003</v>
      </c>
      <c r="I500" t="s">
        <v>18</v>
      </c>
      <c r="J500" s="1">
        <v>45480</v>
      </c>
      <c r="K500">
        <v>2024</v>
      </c>
    </row>
    <row r="501" spans="1:11" x14ac:dyDescent="0.25">
      <c r="A501">
        <v>555</v>
      </c>
      <c r="B501" t="s">
        <v>14</v>
      </c>
      <c r="C501" t="s">
        <v>15</v>
      </c>
      <c r="D501" s="6">
        <v>72.14</v>
      </c>
      <c r="E501">
        <v>359.93</v>
      </c>
      <c r="F501">
        <v>499.17</v>
      </c>
      <c r="G501">
        <v>153.6</v>
      </c>
      <c r="H501">
        <v>33.68</v>
      </c>
      <c r="I501" t="s">
        <v>13</v>
      </c>
      <c r="J501" s="1">
        <v>45481</v>
      </c>
      <c r="K501">
        <v>2024</v>
      </c>
    </row>
    <row r="502" spans="1:11" x14ac:dyDescent="0.25">
      <c r="A502">
        <v>556</v>
      </c>
      <c r="B502" t="s">
        <v>14</v>
      </c>
      <c r="C502" t="s">
        <v>34</v>
      </c>
      <c r="D502" s="6">
        <v>47.04</v>
      </c>
      <c r="E502">
        <v>501.43</v>
      </c>
      <c r="F502">
        <v>436.05</v>
      </c>
      <c r="G502">
        <v>170.47</v>
      </c>
      <c r="H502">
        <v>30.31</v>
      </c>
      <c r="I502" t="s">
        <v>34</v>
      </c>
      <c r="J502" s="1">
        <v>45482</v>
      </c>
      <c r="K502">
        <v>2024</v>
      </c>
    </row>
    <row r="503" spans="1:11" x14ac:dyDescent="0.25">
      <c r="A503">
        <v>557</v>
      </c>
      <c r="B503" t="s">
        <v>34</v>
      </c>
      <c r="C503" t="s">
        <v>20</v>
      </c>
      <c r="D503" s="6">
        <v>51.26</v>
      </c>
      <c r="E503">
        <v>541.77</v>
      </c>
      <c r="F503">
        <v>449.98</v>
      </c>
      <c r="G503">
        <v>171.33</v>
      </c>
      <c r="H503">
        <v>31.48</v>
      </c>
      <c r="I503" t="s">
        <v>34</v>
      </c>
      <c r="J503" s="1">
        <v>45483</v>
      </c>
      <c r="K503">
        <v>2024</v>
      </c>
    </row>
    <row r="504" spans="1:11" x14ac:dyDescent="0.25">
      <c r="A504">
        <v>558</v>
      </c>
      <c r="B504" t="s">
        <v>34</v>
      </c>
      <c r="C504" t="s">
        <v>19</v>
      </c>
      <c r="D504" s="6">
        <v>43.12</v>
      </c>
      <c r="E504">
        <v>584.70000000000005</v>
      </c>
      <c r="F504">
        <v>351.6</v>
      </c>
      <c r="G504">
        <v>186.18</v>
      </c>
      <c r="H504">
        <v>31.45</v>
      </c>
      <c r="I504" t="s">
        <v>34</v>
      </c>
      <c r="J504" s="1">
        <v>45484</v>
      </c>
      <c r="K504">
        <v>2024</v>
      </c>
    </row>
    <row r="505" spans="1:11" x14ac:dyDescent="0.25">
      <c r="A505">
        <v>560</v>
      </c>
      <c r="B505" t="s">
        <v>21</v>
      </c>
      <c r="C505" t="s">
        <v>20</v>
      </c>
      <c r="D505" s="6">
        <v>68.87</v>
      </c>
      <c r="E505">
        <v>516.47</v>
      </c>
      <c r="F505">
        <v>612.49</v>
      </c>
      <c r="G505">
        <v>182.29</v>
      </c>
      <c r="H505">
        <v>21.21</v>
      </c>
      <c r="I505" t="s">
        <v>22</v>
      </c>
      <c r="J505" s="1">
        <v>45486</v>
      </c>
      <c r="K505">
        <v>2024</v>
      </c>
    </row>
    <row r="506" spans="1:11" x14ac:dyDescent="0.25">
      <c r="A506">
        <v>561</v>
      </c>
      <c r="B506" t="s">
        <v>14</v>
      </c>
      <c r="C506" t="s">
        <v>34</v>
      </c>
      <c r="D506" s="6">
        <v>66.31</v>
      </c>
      <c r="E506">
        <v>461.06</v>
      </c>
      <c r="F506">
        <v>498.87</v>
      </c>
      <c r="G506">
        <v>142.82</v>
      </c>
      <c r="H506">
        <v>23.9</v>
      </c>
      <c r="I506" t="s">
        <v>22</v>
      </c>
      <c r="J506" s="1">
        <v>45487</v>
      </c>
      <c r="K506">
        <v>2024</v>
      </c>
    </row>
    <row r="507" spans="1:11" x14ac:dyDescent="0.25">
      <c r="A507">
        <v>562</v>
      </c>
      <c r="B507" t="s">
        <v>34</v>
      </c>
      <c r="C507" t="s">
        <v>16</v>
      </c>
      <c r="D507" s="6">
        <v>59.56</v>
      </c>
      <c r="E507">
        <v>659.09</v>
      </c>
      <c r="F507">
        <v>480.75</v>
      </c>
      <c r="G507">
        <v>227.08</v>
      </c>
      <c r="H507">
        <v>29.48</v>
      </c>
      <c r="I507" t="s">
        <v>13</v>
      </c>
      <c r="J507" s="1">
        <v>45488</v>
      </c>
      <c r="K507">
        <v>2024</v>
      </c>
    </row>
    <row r="508" spans="1:11" x14ac:dyDescent="0.25">
      <c r="A508">
        <v>563</v>
      </c>
      <c r="B508" t="s">
        <v>17</v>
      </c>
      <c r="C508" t="s">
        <v>12</v>
      </c>
      <c r="D508" s="6">
        <v>43.75</v>
      </c>
      <c r="E508">
        <v>389.7</v>
      </c>
      <c r="F508">
        <v>527.80999999999995</v>
      </c>
      <c r="G508">
        <v>267.33</v>
      </c>
      <c r="H508">
        <v>26.07</v>
      </c>
      <c r="I508" t="s">
        <v>13</v>
      </c>
      <c r="J508" s="1">
        <v>45489</v>
      </c>
      <c r="K508">
        <v>2024</v>
      </c>
    </row>
    <row r="509" spans="1:11" x14ac:dyDescent="0.25">
      <c r="A509">
        <v>564</v>
      </c>
      <c r="B509" t="s">
        <v>11</v>
      </c>
      <c r="C509" t="s">
        <v>15</v>
      </c>
      <c r="D509" s="6">
        <v>58.28</v>
      </c>
      <c r="E509">
        <v>535.9</v>
      </c>
      <c r="F509">
        <v>380.59</v>
      </c>
      <c r="G509">
        <v>136.94</v>
      </c>
      <c r="H509">
        <v>26.08</v>
      </c>
      <c r="I509" t="s">
        <v>34</v>
      </c>
      <c r="J509" s="1">
        <v>45490</v>
      </c>
      <c r="K509">
        <v>2024</v>
      </c>
    </row>
    <row r="510" spans="1:11" x14ac:dyDescent="0.25">
      <c r="A510">
        <v>566</v>
      </c>
      <c r="B510" t="s">
        <v>17</v>
      </c>
      <c r="C510" t="s">
        <v>12</v>
      </c>
      <c r="D510" s="6">
        <v>63.12</v>
      </c>
      <c r="E510">
        <v>553.48</v>
      </c>
      <c r="F510">
        <v>445.96</v>
      </c>
      <c r="G510">
        <v>220.76</v>
      </c>
      <c r="H510">
        <v>34.29</v>
      </c>
      <c r="I510" t="s">
        <v>22</v>
      </c>
      <c r="J510" s="1">
        <v>45492</v>
      </c>
      <c r="K510">
        <v>2024</v>
      </c>
    </row>
    <row r="511" spans="1:11" x14ac:dyDescent="0.25">
      <c r="A511">
        <v>567</v>
      </c>
      <c r="B511" t="s">
        <v>14</v>
      </c>
      <c r="C511" t="s">
        <v>20</v>
      </c>
      <c r="D511" s="6">
        <v>61.16</v>
      </c>
      <c r="E511">
        <v>396.3</v>
      </c>
      <c r="F511">
        <v>644.16999999999996</v>
      </c>
      <c r="G511">
        <v>251.69</v>
      </c>
      <c r="H511">
        <v>28.74</v>
      </c>
      <c r="I511" t="s">
        <v>34</v>
      </c>
      <c r="J511" s="1">
        <v>45493</v>
      </c>
      <c r="K511">
        <v>2024</v>
      </c>
    </row>
    <row r="512" spans="1:11" x14ac:dyDescent="0.25">
      <c r="A512">
        <v>568</v>
      </c>
      <c r="B512" t="s">
        <v>34</v>
      </c>
      <c r="C512" t="s">
        <v>19</v>
      </c>
      <c r="D512" s="6">
        <v>43.51</v>
      </c>
      <c r="E512">
        <v>574.38</v>
      </c>
      <c r="F512">
        <v>339.75</v>
      </c>
      <c r="G512">
        <v>273.35000000000002</v>
      </c>
      <c r="H512">
        <v>33.36</v>
      </c>
      <c r="I512" t="s">
        <v>34</v>
      </c>
      <c r="J512" s="1">
        <v>45494</v>
      </c>
      <c r="K512">
        <v>2024</v>
      </c>
    </row>
    <row r="513" spans="1:11" x14ac:dyDescent="0.25">
      <c r="A513">
        <v>569</v>
      </c>
      <c r="B513" t="s">
        <v>14</v>
      </c>
      <c r="C513" t="s">
        <v>16</v>
      </c>
      <c r="D513" s="6">
        <v>59.48</v>
      </c>
      <c r="E513">
        <v>511.21</v>
      </c>
      <c r="F513">
        <v>164.75</v>
      </c>
      <c r="G513">
        <v>248.63</v>
      </c>
      <c r="H513">
        <v>27.9</v>
      </c>
      <c r="I513" t="s">
        <v>18</v>
      </c>
      <c r="J513" s="1">
        <v>45495</v>
      </c>
      <c r="K513">
        <v>2024</v>
      </c>
    </row>
    <row r="514" spans="1:11" x14ac:dyDescent="0.25">
      <c r="A514">
        <v>570</v>
      </c>
      <c r="B514" t="s">
        <v>14</v>
      </c>
      <c r="C514" t="s">
        <v>15</v>
      </c>
      <c r="D514" s="6">
        <v>56.82</v>
      </c>
      <c r="E514">
        <v>674.46</v>
      </c>
      <c r="F514">
        <v>417.43</v>
      </c>
      <c r="G514">
        <v>194.47</v>
      </c>
      <c r="H514">
        <v>30.55</v>
      </c>
      <c r="I514" t="s">
        <v>34</v>
      </c>
      <c r="J514" s="1">
        <v>45496</v>
      </c>
      <c r="K514">
        <v>2024</v>
      </c>
    </row>
    <row r="515" spans="1:11" x14ac:dyDescent="0.25">
      <c r="A515">
        <v>571</v>
      </c>
      <c r="B515" t="s">
        <v>21</v>
      </c>
      <c r="C515" t="s">
        <v>16</v>
      </c>
      <c r="D515" s="6">
        <v>22.26</v>
      </c>
      <c r="E515">
        <v>471.9</v>
      </c>
      <c r="F515">
        <v>617.12</v>
      </c>
      <c r="G515">
        <v>260.88</v>
      </c>
      <c r="H515">
        <v>32.21</v>
      </c>
      <c r="I515" t="s">
        <v>13</v>
      </c>
      <c r="J515" s="1">
        <v>45497</v>
      </c>
      <c r="K515">
        <v>2024</v>
      </c>
    </row>
    <row r="516" spans="1:11" x14ac:dyDescent="0.25">
      <c r="A516">
        <v>572</v>
      </c>
      <c r="B516" t="s">
        <v>11</v>
      </c>
      <c r="C516" t="s">
        <v>20</v>
      </c>
      <c r="D516" s="6">
        <v>58.01</v>
      </c>
      <c r="E516">
        <v>542.5</v>
      </c>
      <c r="F516">
        <v>272.08999999999997</v>
      </c>
      <c r="G516">
        <v>212.73</v>
      </c>
      <c r="H516">
        <v>27.91</v>
      </c>
      <c r="I516" t="s">
        <v>22</v>
      </c>
      <c r="J516" s="1">
        <v>45498</v>
      </c>
      <c r="K516">
        <v>2024</v>
      </c>
    </row>
    <row r="517" spans="1:11" x14ac:dyDescent="0.25">
      <c r="A517">
        <v>573</v>
      </c>
      <c r="B517" t="s">
        <v>14</v>
      </c>
      <c r="C517" t="s">
        <v>34</v>
      </c>
      <c r="D517" s="6">
        <v>45.68</v>
      </c>
      <c r="E517">
        <v>422.03</v>
      </c>
      <c r="F517">
        <v>338.37</v>
      </c>
      <c r="G517">
        <v>254.52</v>
      </c>
      <c r="H517">
        <v>26.57</v>
      </c>
      <c r="I517" t="s">
        <v>13</v>
      </c>
      <c r="J517" s="1">
        <v>45499</v>
      </c>
      <c r="K517">
        <v>2024</v>
      </c>
    </row>
    <row r="518" spans="1:11" x14ac:dyDescent="0.25">
      <c r="A518">
        <v>574</v>
      </c>
      <c r="B518" t="s">
        <v>34</v>
      </c>
      <c r="C518" t="s">
        <v>15</v>
      </c>
      <c r="D518" s="6">
        <v>41.14</v>
      </c>
      <c r="E518">
        <v>471.21</v>
      </c>
      <c r="F518">
        <v>511.63</v>
      </c>
      <c r="G518">
        <v>259.99</v>
      </c>
      <c r="H518">
        <v>36.119999999999997</v>
      </c>
      <c r="I518" t="s">
        <v>13</v>
      </c>
      <c r="J518" s="1">
        <v>45500</v>
      </c>
      <c r="K518">
        <v>2024</v>
      </c>
    </row>
    <row r="519" spans="1:11" x14ac:dyDescent="0.25">
      <c r="A519">
        <v>575</v>
      </c>
      <c r="B519" t="s">
        <v>14</v>
      </c>
      <c r="C519" t="s">
        <v>20</v>
      </c>
      <c r="D519" s="6">
        <v>41.57</v>
      </c>
      <c r="E519">
        <v>510.57</v>
      </c>
      <c r="F519">
        <v>788.39</v>
      </c>
      <c r="G519">
        <v>145.46</v>
      </c>
      <c r="H519">
        <v>33.07</v>
      </c>
      <c r="I519" t="s">
        <v>18</v>
      </c>
      <c r="J519" s="1">
        <v>45501</v>
      </c>
      <c r="K519">
        <v>2024</v>
      </c>
    </row>
    <row r="520" spans="1:11" x14ac:dyDescent="0.25">
      <c r="A520">
        <v>576</v>
      </c>
      <c r="B520" t="s">
        <v>21</v>
      </c>
      <c r="C520" t="s">
        <v>16</v>
      </c>
      <c r="D520" s="6">
        <v>48.65</v>
      </c>
      <c r="E520">
        <v>347.28</v>
      </c>
      <c r="F520">
        <v>317.01</v>
      </c>
      <c r="G520">
        <v>239.72</v>
      </c>
      <c r="H520">
        <v>18.73</v>
      </c>
      <c r="I520" t="s">
        <v>13</v>
      </c>
      <c r="J520" s="1">
        <v>45502</v>
      </c>
      <c r="K520">
        <v>2024</v>
      </c>
    </row>
    <row r="521" spans="1:11" x14ac:dyDescent="0.25">
      <c r="A521">
        <v>577</v>
      </c>
      <c r="B521" t="s">
        <v>21</v>
      </c>
      <c r="C521" t="s">
        <v>19</v>
      </c>
      <c r="D521" s="6">
        <v>54.8</v>
      </c>
      <c r="E521">
        <v>358.24</v>
      </c>
      <c r="F521">
        <v>312.37</v>
      </c>
      <c r="G521">
        <v>190.91</v>
      </c>
      <c r="H521">
        <v>26.66</v>
      </c>
      <c r="I521" t="s">
        <v>13</v>
      </c>
      <c r="J521" s="1">
        <v>45503</v>
      </c>
      <c r="K521">
        <v>2024</v>
      </c>
    </row>
    <row r="522" spans="1:11" x14ac:dyDescent="0.25">
      <c r="A522">
        <v>578</v>
      </c>
      <c r="B522" t="s">
        <v>21</v>
      </c>
      <c r="C522" t="s">
        <v>34</v>
      </c>
      <c r="D522" s="6">
        <v>147.28</v>
      </c>
      <c r="E522">
        <v>559.99</v>
      </c>
      <c r="F522">
        <v>520.64</v>
      </c>
      <c r="G522">
        <v>206.91</v>
      </c>
      <c r="H522">
        <v>26.09</v>
      </c>
      <c r="I522" t="s">
        <v>22</v>
      </c>
      <c r="J522" s="1">
        <v>45504</v>
      </c>
      <c r="K522">
        <v>2024</v>
      </c>
    </row>
    <row r="523" spans="1:11" x14ac:dyDescent="0.25">
      <c r="A523">
        <v>579</v>
      </c>
      <c r="B523" t="s">
        <v>11</v>
      </c>
      <c r="C523" t="s">
        <v>20</v>
      </c>
      <c r="D523" s="6">
        <v>51.9</v>
      </c>
      <c r="E523">
        <v>485.39</v>
      </c>
      <c r="F523">
        <v>624.55999999999995</v>
      </c>
      <c r="G523">
        <v>206.35</v>
      </c>
      <c r="H523">
        <v>26.89</v>
      </c>
      <c r="I523" t="s">
        <v>22</v>
      </c>
      <c r="J523" s="1">
        <v>45505</v>
      </c>
      <c r="K523">
        <v>2024</v>
      </c>
    </row>
    <row r="524" spans="1:11" x14ac:dyDescent="0.25">
      <c r="A524">
        <v>580</v>
      </c>
      <c r="B524" t="s">
        <v>14</v>
      </c>
      <c r="C524" t="s">
        <v>34</v>
      </c>
      <c r="D524" s="6">
        <v>55.77</v>
      </c>
      <c r="E524">
        <v>440.71</v>
      </c>
      <c r="F524">
        <v>405.11</v>
      </c>
      <c r="G524">
        <v>204.35</v>
      </c>
      <c r="H524">
        <v>34.31</v>
      </c>
      <c r="I524" t="s">
        <v>13</v>
      </c>
      <c r="J524" s="1">
        <v>45506</v>
      </c>
      <c r="K524">
        <v>2024</v>
      </c>
    </row>
    <row r="525" spans="1:11" x14ac:dyDescent="0.25">
      <c r="A525">
        <v>581</v>
      </c>
      <c r="B525" t="s">
        <v>11</v>
      </c>
      <c r="C525" t="s">
        <v>20</v>
      </c>
      <c r="D525" s="6">
        <v>68.62</v>
      </c>
      <c r="E525">
        <v>426.3</v>
      </c>
      <c r="F525">
        <v>285.43</v>
      </c>
      <c r="G525">
        <v>276.18</v>
      </c>
      <c r="H525">
        <v>30.1</v>
      </c>
      <c r="I525" t="s">
        <v>18</v>
      </c>
      <c r="J525" s="1">
        <v>45507</v>
      </c>
      <c r="K525">
        <v>2024</v>
      </c>
    </row>
    <row r="526" spans="1:11" x14ac:dyDescent="0.25">
      <c r="A526">
        <v>582</v>
      </c>
      <c r="B526" t="s">
        <v>21</v>
      </c>
      <c r="C526" t="s">
        <v>19</v>
      </c>
      <c r="D526" s="6">
        <v>39.229999999999997</v>
      </c>
      <c r="E526">
        <v>430.15</v>
      </c>
      <c r="F526">
        <v>532.04999999999995</v>
      </c>
      <c r="G526">
        <v>131.68</v>
      </c>
      <c r="H526">
        <v>23.05</v>
      </c>
      <c r="I526" t="s">
        <v>13</v>
      </c>
      <c r="J526" s="1">
        <v>45508</v>
      </c>
      <c r="K526">
        <v>2024</v>
      </c>
    </row>
    <row r="527" spans="1:11" x14ac:dyDescent="0.25">
      <c r="A527">
        <v>583</v>
      </c>
      <c r="B527" t="s">
        <v>21</v>
      </c>
      <c r="C527" t="s">
        <v>34</v>
      </c>
      <c r="D527" s="6">
        <v>46.5</v>
      </c>
      <c r="E527">
        <v>511.26</v>
      </c>
      <c r="F527">
        <v>553.78</v>
      </c>
      <c r="G527">
        <v>113.88</v>
      </c>
      <c r="H527">
        <v>28.08</v>
      </c>
      <c r="I527" t="s">
        <v>13</v>
      </c>
      <c r="J527" s="1">
        <v>45509</v>
      </c>
      <c r="K527">
        <v>2024</v>
      </c>
    </row>
    <row r="528" spans="1:11" x14ac:dyDescent="0.25">
      <c r="A528">
        <v>584</v>
      </c>
      <c r="B528" t="s">
        <v>14</v>
      </c>
      <c r="C528" t="s">
        <v>12</v>
      </c>
      <c r="D528" s="6">
        <v>52.62</v>
      </c>
      <c r="E528">
        <v>544.5</v>
      </c>
      <c r="F528">
        <v>693.44</v>
      </c>
      <c r="G528">
        <v>103.34</v>
      </c>
      <c r="H528">
        <v>32.71</v>
      </c>
      <c r="I528" t="s">
        <v>18</v>
      </c>
      <c r="J528" s="1">
        <v>45510</v>
      </c>
      <c r="K528">
        <v>2024</v>
      </c>
    </row>
    <row r="529" spans="1:11" x14ac:dyDescent="0.25">
      <c r="A529">
        <v>585</v>
      </c>
      <c r="B529" t="s">
        <v>34</v>
      </c>
      <c r="C529" t="s">
        <v>15</v>
      </c>
      <c r="D529" s="6">
        <v>61.47</v>
      </c>
      <c r="E529">
        <v>290.79000000000002</v>
      </c>
      <c r="F529">
        <v>558.83000000000004</v>
      </c>
      <c r="G529">
        <v>253.46</v>
      </c>
      <c r="H529">
        <v>28.9</v>
      </c>
      <c r="I529" t="s">
        <v>13</v>
      </c>
      <c r="J529" s="1">
        <v>45511</v>
      </c>
      <c r="K529">
        <v>2024</v>
      </c>
    </row>
    <row r="530" spans="1:11" x14ac:dyDescent="0.25">
      <c r="A530">
        <v>586</v>
      </c>
      <c r="B530" t="s">
        <v>11</v>
      </c>
      <c r="C530" t="s">
        <v>12</v>
      </c>
      <c r="D530" s="6">
        <v>46.96</v>
      </c>
      <c r="E530">
        <v>641.28</v>
      </c>
      <c r="F530">
        <v>579.37</v>
      </c>
      <c r="G530">
        <v>161.33000000000001</v>
      </c>
      <c r="H530">
        <v>26.78</v>
      </c>
      <c r="I530" t="s">
        <v>13</v>
      </c>
      <c r="J530" s="1">
        <v>45512</v>
      </c>
      <c r="K530">
        <v>2024</v>
      </c>
    </row>
    <row r="531" spans="1:11" x14ac:dyDescent="0.25">
      <c r="A531">
        <v>587</v>
      </c>
      <c r="B531" t="s">
        <v>14</v>
      </c>
      <c r="C531" t="s">
        <v>16</v>
      </c>
      <c r="D531" s="6">
        <v>61.99</v>
      </c>
      <c r="E531">
        <v>634.16999999999996</v>
      </c>
      <c r="F531">
        <v>448.54</v>
      </c>
      <c r="G531">
        <v>206.61</v>
      </c>
      <c r="H531">
        <v>31.66</v>
      </c>
      <c r="I531" t="s">
        <v>22</v>
      </c>
      <c r="J531" s="1">
        <v>45513</v>
      </c>
      <c r="K531">
        <v>2024</v>
      </c>
    </row>
    <row r="532" spans="1:11" x14ac:dyDescent="0.25">
      <c r="A532">
        <v>588</v>
      </c>
      <c r="B532" t="s">
        <v>21</v>
      </c>
      <c r="C532" t="s">
        <v>19</v>
      </c>
      <c r="D532" s="6">
        <v>30.63</v>
      </c>
      <c r="E532">
        <v>266.93</v>
      </c>
      <c r="F532">
        <v>772.98</v>
      </c>
      <c r="G532">
        <v>194.26</v>
      </c>
      <c r="H532">
        <v>38.090000000000003</v>
      </c>
      <c r="I532" t="s">
        <v>34</v>
      </c>
      <c r="J532" s="1">
        <v>45514</v>
      </c>
      <c r="K532">
        <v>2024</v>
      </c>
    </row>
    <row r="533" spans="1:11" x14ac:dyDescent="0.25">
      <c r="A533">
        <v>589</v>
      </c>
      <c r="B533" t="s">
        <v>21</v>
      </c>
      <c r="C533" t="s">
        <v>12</v>
      </c>
      <c r="D533" s="6">
        <v>37.47</v>
      </c>
      <c r="E533">
        <v>608.59</v>
      </c>
      <c r="F533">
        <v>432.22</v>
      </c>
      <c r="G533">
        <v>155.68</v>
      </c>
      <c r="H533">
        <v>32.31</v>
      </c>
      <c r="I533" t="s">
        <v>18</v>
      </c>
      <c r="J533" s="1">
        <v>45515</v>
      </c>
      <c r="K533">
        <v>2024</v>
      </c>
    </row>
    <row r="534" spans="1:11" x14ac:dyDescent="0.25">
      <c r="A534">
        <v>590</v>
      </c>
      <c r="B534" t="s">
        <v>14</v>
      </c>
      <c r="C534" t="s">
        <v>20</v>
      </c>
      <c r="D534" s="6">
        <v>53.49</v>
      </c>
      <c r="E534">
        <v>605.52</v>
      </c>
      <c r="F534">
        <v>406.57</v>
      </c>
      <c r="G534">
        <v>242.57</v>
      </c>
      <c r="H534">
        <v>36.5</v>
      </c>
      <c r="I534" t="s">
        <v>13</v>
      </c>
      <c r="J534" s="1">
        <v>45516</v>
      </c>
      <c r="K534">
        <v>2024</v>
      </c>
    </row>
    <row r="535" spans="1:11" x14ac:dyDescent="0.25">
      <c r="A535">
        <v>591</v>
      </c>
      <c r="B535" t="s">
        <v>34</v>
      </c>
      <c r="C535" t="s">
        <v>16</v>
      </c>
      <c r="D535" s="6">
        <v>35.89</v>
      </c>
      <c r="E535">
        <v>500.04</v>
      </c>
      <c r="F535">
        <v>697.14</v>
      </c>
      <c r="G535">
        <v>193.63</v>
      </c>
      <c r="H535">
        <v>27.11</v>
      </c>
      <c r="I535" t="s">
        <v>18</v>
      </c>
      <c r="J535" s="1">
        <v>45517</v>
      </c>
      <c r="K535">
        <v>2024</v>
      </c>
    </row>
    <row r="536" spans="1:11" x14ac:dyDescent="0.25">
      <c r="A536">
        <v>593</v>
      </c>
      <c r="B536" t="s">
        <v>21</v>
      </c>
      <c r="C536" t="s">
        <v>12</v>
      </c>
      <c r="D536" s="6">
        <v>44.72</v>
      </c>
      <c r="E536">
        <v>601.52</v>
      </c>
      <c r="F536">
        <v>258.31</v>
      </c>
      <c r="G536">
        <v>211.64</v>
      </c>
      <c r="H536">
        <v>29.86</v>
      </c>
      <c r="I536" t="s">
        <v>13</v>
      </c>
      <c r="J536" s="1">
        <v>45519</v>
      </c>
      <c r="K536">
        <v>2024</v>
      </c>
    </row>
    <row r="537" spans="1:11" x14ac:dyDescent="0.25">
      <c r="A537">
        <v>594</v>
      </c>
      <c r="B537" t="s">
        <v>21</v>
      </c>
      <c r="C537" t="s">
        <v>12</v>
      </c>
      <c r="D537" s="6">
        <v>57.71</v>
      </c>
      <c r="E537">
        <v>475.88</v>
      </c>
      <c r="F537">
        <v>494.35</v>
      </c>
      <c r="G537">
        <v>236.04</v>
      </c>
      <c r="H537">
        <v>30.59</v>
      </c>
      <c r="I537" t="s">
        <v>34</v>
      </c>
      <c r="J537" s="1">
        <v>45520</v>
      </c>
      <c r="K537">
        <v>2024</v>
      </c>
    </row>
    <row r="538" spans="1:11" x14ac:dyDescent="0.25">
      <c r="A538">
        <v>595</v>
      </c>
      <c r="B538" t="s">
        <v>14</v>
      </c>
      <c r="C538" t="s">
        <v>19</v>
      </c>
      <c r="D538" s="6">
        <v>31.04</v>
      </c>
      <c r="E538">
        <v>554.89</v>
      </c>
      <c r="F538">
        <v>479.79</v>
      </c>
      <c r="G538">
        <v>152.05000000000001</v>
      </c>
      <c r="H538">
        <v>32.200000000000003</v>
      </c>
      <c r="I538" t="s">
        <v>13</v>
      </c>
      <c r="J538" s="1">
        <v>45521</v>
      </c>
      <c r="K538">
        <v>2024</v>
      </c>
    </row>
    <row r="539" spans="1:11" x14ac:dyDescent="0.25">
      <c r="A539">
        <v>596</v>
      </c>
      <c r="B539" t="s">
        <v>11</v>
      </c>
      <c r="C539" t="s">
        <v>15</v>
      </c>
      <c r="D539" s="6">
        <v>51.7</v>
      </c>
      <c r="E539">
        <v>721.92</v>
      </c>
      <c r="F539">
        <v>452.65</v>
      </c>
      <c r="G539">
        <v>243.65</v>
      </c>
      <c r="H539">
        <v>25.41</v>
      </c>
      <c r="I539" t="s">
        <v>22</v>
      </c>
      <c r="J539" s="1">
        <v>45522</v>
      </c>
      <c r="K539">
        <v>2024</v>
      </c>
    </row>
    <row r="540" spans="1:11" x14ac:dyDescent="0.25">
      <c r="A540">
        <v>597</v>
      </c>
      <c r="B540" t="s">
        <v>21</v>
      </c>
      <c r="C540" t="s">
        <v>12</v>
      </c>
      <c r="D540" s="6">
        <v>301.64999999999998</v>
      </c>
      <c r="E540">
        <v>2100.73</v>
      </c>
      <c r="F540">
        <v>599.27</v>
      </c>
      <c r="G540">
        <v>272.49</v>
      </c>
      <c r="H540">
        <v>33.24</v>
      </c>
      <c r="I540" t="s">
        <v>13</v>
      </c>
      <c r="J540" s="1">
        <v>45523</v>
      </c>
      <c r="K540">
        <v>2024</v>
      </c>
    </row>
    <row r="541" spans="1:11" x14ac:dyDescent="0.25">
      <c r="A541">
        <v>598</v>
      </c>
      <c r="B541" t="s">
        <v>11</v>
      </c>
      <c r="C541" t="s">
        <v>12</v>
      </c>
      <c r="D541" s="6">
        <v>48.05</v>
      </c>
      <c r="E541">
        <v>408.31</v>
      </c>
      <c r="F541">
        <v>371.02</v>
      </c>
      <c r="G541">
        <v>128.69</v>
      </c>
      <c r="H541">
        <v>21.86</v>
      </c>
      <c r="I541" t="s">
        <v>18</v>
      </c>
      <c r="J541" s="1">
        <v>45524</v>
      </c>
      <c r="K541">
        <v>2024</v>
      </c>
    </row>
    <row r="542" spans="1:11" x14ac:dyDescent="0.25">
      <c r="A542">
        <v>600</v>
      </c>
      <c r="B542" t="s">
        <v>21</v>
      </c>
      <c r="C542" t="s">
        <v>20</v>
      </c>
      <c r="D542" s="6">
        <v>54.02</v>
      </c>
      <c r="E542">
        <v>421.06</v>
      </c>
      <c r="F542">
        <v>436.79</v>
      </c>
      <c r="G542">
        <v>184.75</v>
      </c>
      <c r="H542">
        <v>40.68</v>
      </c>
      <c r="I542" t="s">
        <v>18</v>
      </c>
      <c r="J542" s="1">
        <v>45526</v>
      </c>
      <c r="K542">
        <v>2024</v>
      </c>
    </row>
    <row r="543" spans="1:11" x14ac:dyDescent="0.25">
      <c r="A543">
        <v>601</v>
      </c>
      <c r="B543" t="s">
        <v>21</v>
      </c>
      <c r="C543" t="s">
        <v>34</v>
      </c>
      <c r="D543" s="6">
        <v>48.08</v>
      </c>
      <c r="E543">
        <v>543.35</v>
      </c>
      <c r="F543">
        <v>373.05</v>
      </c>
      <c r="G543">
        <v>234.96</v>
      </c>
      <c r="H543">
        <v>27.45</v>
      </c>
      <c r="I543" t="s">
        <v>34</v>
      </c>
      <c r="J543" s="1">
        <v>45527</v>
      </c>
      <c r="K543">
        <v>2024</v>
      </c>
    </row>
    <row r="544" spans="1:11" x14ac:dyDescent="0.25">
      <c r="A544">
        <v>602</v>
      </c>
      <c r="B544" t="s">
        <v>17</v>
      </c>
      <c r="C544" t="s">
        <v>34</v>
      </c>
      <c r="D544" s="6">
        <v>63.9</v>
      </c>
      <c r="E544">
        <v>419.39</v>
      </c>
      <c r="F544">
        <v>472.58</v>
      </c>
      <c r="G544">
        <v>139.16999999999999</v>
      </c>
      <c r="H544">
        <v>33.65</v>
      </c>
      <c r="I544" t="s">
        <v>13</v>
      </c>
      <c r="J544" s="1">
        <v>45528</v>
      </c>
      <c r="K544">
        <v>2024</v>
      </c>
    </row>
    <row r="545" spans="1:11" x14ac:dyDescent="0.25">
      <c r="A545">
        <v>603</v>
      </c>
      <c r="B545" t="s">
        <v>21</v>
      </c>
      <c r="C545" t="s">
        <v>16</v>
      </c>
      <c r="D545" s="6">
        <v>38.89</v>
      </c>
      <c r="E545">
        <v>452.71</v>
      </c>
      <c r="F545">
        <v>582.30999999999995</v>
      </c>
      <c r="G545">
        <v>281.45</v>
      </c>
      <c r="H545">
        <v>38.49</v>
      </c>
      <c r="I545" t="s">
        <v>22</v>
      </c>
      <c r="J545" s="1">
        <v>45529</v>
      </c>
      <c r="K545">
        <v>2024</v>
      </c>
    </row>
    <row r="546" spans="1:11" x14ac:dyDescent="0.25">
      <c r="A546">
        <v>604</v>
      </c>
      <c r="B546" t="s">
        <v>14</v>
      </c>
      <c r="C546" t="s">
        <v>15</v>
      </c>
      <c r="D546" s="6">
        <v>49.48</v>
      </c>
      <c r="E546">
        <v>371.56</v>
      </c>
      <c r="F546">
        <v>734.47</v>
      </c>
      <c r="G546">
        <v>119.61</v>
      </c>
      <c r="H546">
        <v>18.43</v>
      </c>
      <c r="I546" t="s">
        <v>13</v>
      </c>
      <c r="J546" s="1">
        <v>45530</v>
      </c>
      <c r="K546">
        <v>2024</v>
      </c>
    </row>
    <row r="547" spans="1:11" x14ac:dyDescent="0.25">
      <c r="A547">
        <v>605</v>
      </c>
      <c r="B547" t="s">
        <v>14</v>
      </c>
      <c r="C547" t="s">
        <v>20</v>
      </c>
      <c r="D547" s="6">
        <v>52.06</v>
      </c>
      <c r="E547">
        <v>486.79</v>
      </c>
      <c r="F547">
        <v>549.53</v>
      </c>
      <c r="G547">
        <v>187.79</v>
      </c>
      <c r="H547">
        <v>35.630000000000003</v>
      </c>
      <c r="I547" t="s">
        <v>13</v>
      </c>
      <c r="J547" s="1">
        <v>45531</v>
      </c>
      <c r="K547">
        <v>2024</v>
      </c>
    </row>
    <row r="548" spans="1:11" x14ac:dyDescent="0.25">
      <c r="A548">
        <v>606</v>
      </c>
      <c r="B548" t="s">
        <v>14</v>
      </c>
      <c r="C548" t="s">
        <v>19</v>
      </c>
      <c r="D548" s="6">
        <v>46.22</v>
      </c>
      <c r="E548">
        <v>517.67999999999995</v>
      </c>
      <c r="F548">
        <v>178.7</v>
      </c>
      <c r="G548">
        <v>221.71</v>
      </c>
      <c r="H548">
        <v>33.24</v>
      </c>
      <c r="I548" t="s">
        <v>13</v>
      </c>
      <c r="J548" s="1">
        <v>45532</v>
      </c>
      <c r="K548">
        <v>2024</v>
      </c>
    </row>
    <row r="549" spans="1:11" x14ac:dyDescent="0.25">
      <c r="A549">
        <v>607</v>
      </c>
      <c r="B549" t="s">
        <v>11</v>
      </c>
      <c r="C549" t="s">
        <v>19</v>
      </c>
      <c r="D549" s="6">
        <v>21.29</v>
      </c>
      <c r="E549">
        <v>231.52</v>
      </c>
      <c r="F549">
        <v>475.42</v>
      </c>
      <c r="G549">
        <v>165.68</v>
      </c>
      <c r="H549">
        <v>38.200000000000003</v>
      </c>
      <c r="I549" t="s">
        <v>13</v>
      </c>
      <c r="J549" s="1">
        <v>45533</v>
      </c>
      <c r="K549">
        <v>2024</v>
      </c>
    </row>
    <row r="550" spans="1:11" x14ac:dyDescent="0.25">
      <c r="A550">
        <v>609</v>
      </c>
      <c r="B550" t="s">
        <v>21</v>
      </c>
      <c r="C550" t="s">
        <v>12</v>
      </c>
      <c r="D550" s="6">
        <v>59</v>
      </c>
      <c r="E550">
        <v>495.43</v>
      </c>
      <c r="F550">
        <v>592.35</v>
      </c>
      <c r="G550">
        <v>211.11</v>
      </c>
      <c r="H550">
        <v>37.26</v>
      </c>
      <c r="I550" t="s">
        <v>13</v>
      </c>
      <c r="J550" s="1">
        <v>45535</v>
      </c>
      <c r="K550">
        <v>2024</v>
      </c>
    </row>
    <row r="551" spans="1:11" x14ac:dyDescent="0.25">
      <c r="A551">
        <v>611</v>
      </c>
      <c r="B551" t="s">
        <v>11</v>
      </c>
      <c r="C551" t="s">
        <v>12</v>
      </c>
      <c r="D551" s="6">
        <v>53.55</v>
      </c>
      <c r="E551">
        <v>702.86</v>
      </c>
      <c r="F551">
        <v>630.37</v>
      </c>
      <c r="G551">
        <v>200.3</v>
      </c>
      <c r="H551">
        <v>35.270000000000003</v>
      </c>
      <c r="I551" t="s">
        <v>22</v>
      </c>
      <c r="J551" s="1">
        <v>45537</v>
      </c>
      <c r="K551">
        <v>2024</v>
      </c>
    </row>
    <row r="552" spans="1:11" x14ac:dyDescent="0.25">
      <c r="A552">
        <v>612</v>
      </c>
      <c r="B552" t="s">
        <v>17</v>
      </c>
      <c r="C552" t="s">
        <v>15</v>
      </c>
      <c r="D552" s="6">
        <v>39.020000000000003</v>
      </c>
      <c r="E552">
        <v>595.85</v>
      </c>
      <c r="F552">
        <v>527</v>
      </c>
      <c r="G552">
        <v>242.93</v>
      </c>
      <c r="H552">
        <v>29.82</v>
      </c>
      <c r="I552" t="s">
        <v>13</v>
      </c>
      <c r="J552" s="1">
        <v>45538</v>
      </c>
      <c r="K552">
        <v>2024</v>
      </c>
    </row>
    <row r="553" spans="1:11" x14ac:dyDescent="0.25">
      <c r="A553">
        <v>613</v>
      </c>
      <c r="B553" t="s">
        <v>11</v>
      </c>
      <c r="C553" t="s">
        <v>34</v>
      </c>
      <c r="D553" s="6">
        <v>53.95</v>
      </c>
      <c r="E553">
        <v>390.36</v>
      </c>
      <c r="F553">
        <v>667.06</v>
      </c>
      <c r="G553">
        <v>180.28</v>
      </c>
      <c r="H553">
        <v>33.85</v>
      </c>
      <c r="I553" t="s">
        <v>13</v>
      </c>
      <c r="J553" s="1">
        <v>45539</v>
      </c>
      <c r="K553">
        <v>2024</v>
      </c>
    </row>
    <row r="554" spans="1:11" x14ac:dyDescent="0.25">
      <c r="A554">
        <v>615</v>
      </c>
      <c r="B554" t="s">
        <v>21</v>
      </c>
      <c r="C554" t="s">
        <v>16</v>
      </c>
      <c r="D554" s="6">
        <v>53.53</v>
      </c>
      <c r="E554">
        <v>624.45000000000005</v>
      </c>
      <c r="F554">
        <v>497.32</v>
      </c>
      <c r="G554">
        <v>174.67</v>
      </c>
      <c r="H554">
        <v>20.8</v>
      </c>
      <c r="I554" t="s">
        <v>18</v>
      </c>
      <c r="J554" s="1">
        <v>45541</v>
      </c>
      <c r="K554">
        <v>2024</v>
      </c>
    </row>
    <row r="555" spans="1:11" x14ac:dyDescent="0.25">
      <c r="A555">
        <v>616</v>
      </c>
      <c r="B555" t="s">
        <v>17</v>
      </c>
      <c r="C555" t="s">
        <v>12</v>
      </c>
      <c r="D555" s="6">
        <v>51.22</v>
      </c>
      <c r="E555">
        <v>513.20000000000005</v>
      </c>
      <c r="F555">
        <v>579.20000000000005</v>
      </c>
      <c r="G555">
        <v>157.53</v>
      </c>
      <c r="H555">
        <v>14.4</v>
      </c>
      <c r="I555" t="s">
        <v>13</v>
      </c>
      <c r="J555" s="1">
        <v>45542</v>
      </c>
      <c r="K555">
        <v>2024</v>
      </c>
    </row>
    <row r="556" spans="1:11" x14ac:dyDescent="0.25">
      <c r="A556">
        <v>617</v>
      </c>
      <c r="B556" t="s">
        <v>11</v>
      </c>
      <c r="C556" t="s">
        <v>20</v>
      </c>
      <c r="D556" s="6">
        <v>40.24</v>
      </c>
      <c r="E556">
        <v>536.14</v>
      </c>
      <c r="F556">
        <v>411.34</v>
      </c>
      <c r="G556">
        <v>185.76</v>
      </c>
      <c r="H556">
        <v>31.05</v>
      </c>
      <c r="I556" t="s">
        <v>22</v>
      </c>
      <c r="J556" s="1">
        <v>45543</v>
      </c>
      <c r="K556">
        <v>2024</v>
      </c>
    </row>
    <row r="557" spans="1:11" x14ac:dyDescent="0.25">
      <c r="A557">
        <v>618</v>
      </c>
      <c r="B557" t="s">
        <v>14</v>
      </c>
      <c r="C557" t="s">
        <v>15</v>
      </c>
      <c r="D557" s="6">
        <v>41.08</v>
      </c>
      <c r="E557">
        <v>533.83000000000004</v>
      </c>
      <c r="F557">
        <v>385.2</v>
      </c>
      <c r="G557">
        <v>175.06</v>
      </c>
      <c r="H557">
        <v>28.68</v>
      </c>
      <c r="I557" t="s">
        <v>13</v>
      </c>
      <c r="J557" s="1">
        <v>45544</v>
      </c>
      <c r="K557">
        <v>2024</v>
      </c>
    </row>
    <row r="558" spans="1:11" x14ac:dyDescent="0.25">
      <c r="A558">
        <v>620</v>
      </c>
      <c r="B558" t="s">
        <v>14</v>
      </c>
      <c r="C558" t="s">
        <v>20</v>
      </c>
      <c r="D558" s="6">
        <v>47.79</v>
      </c>
      <c r="E558">
        <v>481.31</v>
      </c>
      <c r="F558">
        <v>390.09</v>
      </c>
      <c r="G558">
        <v>258.27</v>
      </c>
      <c r="H558">
        <v>28.74</v>
      </c>
      <c r="I558" t="s">
        <v>13</v>
      </c>
      <c r="J558" s="1">
        <v>45546</v>
      </c>
      <c r="K558">
        <v>2024</v>
      </c>
    </row>
    <row r="559" spans="1:11" x14ac:dyDescent="0.25">
      <c r="A559">
        <v>621</v>
      </c>
      <c r="B559" t="s">
        <v>17</v>
      </c>
      <c r="C559" t="s">
        <v>16</v>
      </c>
      <c r="D559" s="6">
        <v>41.6</v>
      </c>
      <c r="E559">
        <v>476.11</v>
      </c>
      <c r="F559">
        <v>542.71</v>
      </c>
      <c r="G559">
        <v>187.29</v>
      </c>
      <c r="H559">
        <v>40.090000000000003</v>
      </c>
      <c r="I559" t="s">
        <v>34</v>
      </c>
      <c r="J559" s="1">
        <v>45547</v>
      </c>
      <c r="K559">
        <v>2024</v>
      </c>
    </row>
    <row r="560" spans="1:11" x14ac:dyDescent="0.25">
      <c r="A560">
        <v>623</v>
      </c>
      <c r="B560" t="s">
        <v>14</v>
      </c>
      <c r="C560" t="s">
        <v>15</v>
      </c>
      <c r="D560" s="6">
        <v>46.96</v>
      </c>
      <c r="E560">
        <v>533.37</v>
      </c>
      <c r="F560">
        <v>293.27999999999997</v>
      </c>
      <c r="G560">
        <v>201.4</v>
      </c>
      <c r="H560">
        <v>27.77</v>
      </c>
      <c r="I560" t="s">
        <v>22</v>
      </c>
      <c r="J560" s="1">
        <v>45549</v>
      </c>
      <c r="K560">
        <v>2024</v>
      </c>
    </row>
    <row r="561" spans="1:11" x14ac:dyDescent="0.25">
      <c r="A561">
        <v>624</v>
      </c>
      <c r="B561" t="s">
        <v>11</v>
      </c>
      <c r="C561" t="s">
        <v>15</v>
      </c>
      <c r="D561" s="6">
        <v>65.680000000000007</v>
      </c>
      <c r="E561">
        <v>470.24</v>
      </c>
      <c r="F561">
        <v>703.53</v>
      </c>
      <c r="G561">
        <v>205.21</v>
      </c>
      <c r="H561">
        <v>31.69</v>
      </c>
      <c r="I561" t="s">
        <v>13</v>
      </c>
      <c r="J561" s="1">
        <v>45550</v>
      </c>
      <c r="K561">
        <v>2024</v>
      </c>
    </row>
    <row r="562" spans="1:11" x14ac:dyDescent="0.25">
      <c r="A562">
        <v>625</v>
      </c>
      <c r="B562" t="s">
        <v>17</v>
      </c>
      <c r="C562" t="s">
        <v>15</v>
      </c>
      <c r="D562" s="6">
        <v>124.4</v>
      </c>
      <c r="E562">
        <v>490.99</v>
      </c>
      <c r="F562">
        <v>392.99</v>
      </c>
      <c r="G562">
        <v>140.66</v>
      </c>
      <c r="H562">
        <v>27.86</v>
      </c>
      <c r="I562" t="s">
        <v>13</v>
      </c>
      <c r="J562" s="1">
        <v>45551</v>
      </c>
      <c r="K562">
        <v>2024</v>
      </c>
    </row>
    <row r="563" spans="1:11" x14ac:dyDescent="0.25">
      <c r="A563">
        <v>626</v>
      </c>
      <c r="B563" t="s">
        <v>14</v>
      </c>
      <c r="C563" t="s">
        <v>15</v>
      </c>
      <c r="D563" s="6">
        <v>49.86</v>
      </c>
      <c r="E563">
        <v>602.34</v>
      </c>
      <c r="F563">
        <v>504</v>
      </c>
      <c r="G563">
        <v>185.08</v>
      </c>
      <c r="H563">
        <v>30.46</v>
      </c>
      <c r="I563" t="s">
        <v>22</v>
      </c>
      <c r="J563" s="1">
        <v>45552</v>
      </c>
      <c r="K563">
        <v>2024</v>
      </c>
    </row>
    <row r="564" spans="1:11" x14ac:dyDescent="0.25">
      <c r="A564">
        <v>627</v>
      </c>
      <c r="B564" t="s">
        <v>14</v>
      </c>
      <c r="C564" t="s">
        <v>16</v>
      </c>
      <c r="D564" s="6">
        <v>51.02</v>
      </c>
      <c r="E564">
        <v>481.54</v>
      </c>
      <c r="F564">
        <v>301.3</v>
      </c>
      <c r="G564">
        <v>183.07</v>
      </c>
      <c r="H564">
        <v>23.91</v>
      </c>
      <c r="I564" t="s">
        <v>13</v>
      </c>
      <c r="J564" s="1">
        <v>45553</v>
      </c>
      <c r="K564">
        <v>2024</v>
      </c>
    </row>
    <row r="565" spans="1:11" x14ac:dyDescent="0.25">
      <c r="A565">
        <v>628</v>
      </c>
      <c r="B565" t="s">
        <v>21</v>
      </c>
      <c r="C565" t="s">
        <v>12</v>
      </c>
      <c r="D565" s="6">
        <v>38.69</v>
      </c>
      <c r="E565">
        <v>430.18</v>
      </c>
      <c r="F565">
        <v>491.29</v>
      </c>
      <c r="G565">
        <v>191.39</v>
      </c>
      <c r="H565">
        <v>29.96</v>
      </c>
      <c r="I565" t="s">
        <v>18</v>
      </c>
      <c r="J565" s="1">
        <v>45554</v>
      </c>
      <c r="K565">
        <v>2024</v>
      </c>
    </row>
    <row r="566" spans="1:11" x14ac:dyDescent="0.25">
      <c r="A566">
        <v>629</v>
      </c>
      <c r="B566" t="s">
        <v>17</v>
      </c>
      <c r="C566" t="s">
        <v>20</v>
      </c>
      <c r="D566" s="6">
        <v>32.369999999999997</v>
      </c>
      <c r="E566">
        <v>472.43</v>
      </c>
      <c r="F566">
        <v>393.72</v>
      </c>
      <c r="G566">
        <v>236.28</v>
      </c>
      <c r="H566">
        <v>27.61</v>
      </c>
      <c r="I566" t="s">
        <v>34</v>
      </c>
      <c r="J566" s="1">
        <v>45555</v>
      </c>
      <c r="K566">
        <v>2024</v>
      </c>
    </row>
    <row r="567" spans="1:11" x14ac:dyDescent="0.25">
      <c r="A567">
        <v>630</v>
      </c>
      <c r="B567" t="s">
        <v>34</v>
      </c>
      <c r="C567" t="s">
        <v>15</v>
      </c>
      <c r="D567" s="6">
        <v>39.729999999999997</v>
      </c>
      <c r="E567">
        <v>594.07000000000005</v>
      </c>
      <c r="F567">
        <v>292.43</v>
      </c>
      <c r="G567">
        <v>206.83</v>
      </c>
      <c r="H567">
        <v>24.39</v>
      </c>
      <c r="I567" t="s">
        <v>18</v>
      </c>
      <c r="J567" s="1">
        <v>45556</v>
      </c>
      <c r="K567">
        <v>2024</v>
      </c>
    </row>
    <row r="568" spans="1:11" x14ac:dyDescent="0.25">
      <c r="A568">
        <v>631</v>
      </c>
      <c r="B568" t="s">
        <v>14</v>
      </c>
      <c r="C568" t="s">
        <v>12</v>
      </c>
      <c r="D568" s="6">
        <v>52.47</v>
      </c>
      <c r="E568">
        <v>549.62</v>
      </c>
      <c r="F568">
        <v>640.42999999999995</v>
      </c>
      <c r="G568">
        <v>261.39999999999998</v>
      </c>
      <c r="H568">
        <v>39.880000000000003</v>
      </c>
      <c r="I568" t="s">
        <v>34</v>
      </c>
      <c r="J568" s="1">
        <v>45557</v>
      </c>
      <c r="K568">
        <v>2024</v>
      </c>
    </row>
    <row r="569" spans="1:11" x14ac:dyDescent="0.25">
      <c r="A569">
        <v>632</v>
      </c>
      <c r="B569" t="s">
        <v>14</v>
      </c>
      <c r="C569" t="s">
        <v>12</v>
      </c>
      <c r="D569" s="6">
        <v>254.37</v>
      </c>
      <c r="E569">
        <v>2017.71</v>
      </c>
      <c r="F569">
        <v>621.91</v>
      </c>
      <c r="G569">
        <v>199.42</v>
      </c>
      <c r="H569">
        <v>24.58</v>
      </c>
      <c r="I569" t="s">
        <v>22</v>
      </c>
      <c r="J569" s="1">
        <v>45558</v>
      </c>
      <c r="K569">
        <v>2024</v>
      </c>
    </row>
    <row r="570" spans="1:11" x14ac:dyDescent="0.25">
      <c r="A570">
        <v>633</v>
      </c>
      <c r="B570" t="s">
        <v>11</v>
      </c>
      <c r="C570" t="s">
        <v>20</v>
      </c>
      <c r="D570" s="6">
        <v>57.02</v>
      </c>
      <c r="E570">
        <v>519.15</v>
      </c>
      <c r="F570">
        <v>467.12</v>
      </c>
      <c r="G570">
        <v>288.8</v>
      </c>
      <c r="H570">
        <v>30.03</v>
      </c>
      <c r="I570" t="s">
        <v>13</v>
      </c>
      <c r="J570" s="1">
        <v>45559</v>
      </c>
      <c r="K570">
        <v>2024</v>
      </c>
    </row>
    <row r="571" spans="1:11" x14ac:dyDescent="0.25">
      <c r="A571">
        <v>634</v>
      </c>
      <c r="B571" t="s">
        <v>34</v>
      </c>
      <c r="C571" t="s">
        <v>16</v>
      </c>
      <c r="D571" s="6">
        <v>50.97</v>
      </c>
      <c r="E571">
        <v>444.03</v>
      </c>
      <c r="F571">
        <v>599.92999999999995</v>
      </c>
      <c r="G571">
        <v>176.96</v>
      </c>
      <c r="H571">
        <v>25.99</v>
      </c>
      <c r="I571" t="s">
        <v>13</v>
      </c>
      <c r="J571" s="1">
        <v>45560</v>
      </c>
      <c r="K571">
        <v>2024</v>
      </c>
    </row>
    <row r="572" spans="1:11" x14ac:dyDescent="0.25">
      <c r="A572">
        <v>636</v>
      </c>
      <c r="B572" t="s">
        <v>21</v>
      </c>
      <c r="C572" t="s">
        <v>19</v>
      </c>
      <c r="D572" s="6">
        <v>43.96</v>
      </c>
      <c r="E572">
        <v>433.67</v>
      </c>
      <c r="F572">
        <v>570.49</v>
      </c>
      <c r="G572">
        <v>227.37</v>
      </c>
      <c r="H572">
        <v>23.63</v>
      </c>
      <c r="I572" t="s">
        <v>13</v>
      </c>
      <c r="J572" s="1">
        <v>45562</v>
      </c>
      <c r="K572">
        <v>2024</v>
      </c>
    </row>
    <row r="573" spans="1:11" x14ac:dyDescent="0.25">
      <c r="A573">
        <v>637</v>
      </c>
      <c r="B573" t="s">
        <v>14</v>
      </c>
      <c r="C573" t="s">
        <v>34</v>
      </c>
      <c r="D573" s="6">
        <v>58.85</v>
      </c>
      <c r="E573">
        <v>470.52</v>
      </c>
      <c r="F573">
        <v>537.55999999999995</v>
      </c>
      <c r="G573">
        <v>268.2</v>
      </c>
      <c r="H573">
        <v>34.200000000000003</v>
      </c>
      <c r="I573" t="s">
        <v>18</v>
      </c>
      <c r="J573" s="1">
        <v>45563</v>
      </c>
      <c r="K573">
        <v>2024</v>
      </c>
    </row>
    <row r="574" spans="1:11" x14ac:dyDescent="0.25">
      <c r="A574">
        <v>638</v>
      </c>
      <c r="B574" t="s">
        <v>17</v>
      </c>
      <c r="C574" t="s">
        <v>34</v>
      </c>
      <c r="D574" s="6">
        <v>40.81</v>
      </c>
      <c r="E574">
        <v>634.62</v>
      </c>
      <c r="F574">
        <v>503.87</v>
      </c>
      <c r="G574">
        <v>131.06</v>
      </c>
      <c r="H574">
        <v>40.18</v>
      </c>
      <c r="I574" t="s">
        <v>18</v>
      </c>
      <c r="J574" s="1">
        <v>45564</v>
      </c>
      <c r="K574">
        <v>2024</v>
      </c>
    </row>
    <row r="575" spans="1:11" x14ac:dyDescent="0.25">
      <c r="A575">
        <v>639</v>
      </c>
      <c r="B575" t="s">
        <v>21</v>
      </c>
      <c r="C575" t="s">
        <v>34</v>
      </c>
      <c r="D575" s="6">
        <v>38.9</v>
      </c>
      <c r="E575">
        <v>392.21</v>
      </c>
      <c r="F575">
        <v>557.94000000000005</v>
      </c>
      <c r="G575">
        <v>190.15</v>
      </c>
      <c r="H575">
        <v>25.8</v>
      </c>
      <c r="I575" t="s">
        <v>13</v>
      </c>
      <c r="J575" s="1">
        <v>45565</v>
      </c>
      <c r="K575">
        <v>2024</v>
      </c>
    </row>
    <row r="576" spans="1:11" x14ac:dyDescent="0.25">
      <c r="A576">
        <v>640</v>
      </c>
      <c r="B576" t="s">
        <v>17</v>
      </c>
      <c r="C576" t="s">
        <v>20</v>
      </c>
      <c r="D576" s="6">
        <v>55.67</v>
      </c>
      <c r="E576">
        <v>431.13</v>
      </c>
      <c r="F576">
        <v>436.33</v>
      </c>
      <c r="G576">
        <v>169.46</v>
      </c>
      <c r="H576">
        <v>36.08</v>
      </c>
      <c r="I576" t="s">
        <v>13</v>
      </c>
      <c r="J576" s="1">
        <v>45566</v>
      </c>
      <c r="K576">
        <v>2024</v>
      </c>
    </row>
    <row r="577" spans="1:11" x14ac:dyDescent="0.25">
      <c r="A577">
        <v>641</v>
      </c>
      <c r="B577" t="s">
        <v>34</v>
      </c>
      <c r="C577" t="s">
        <v>19</v>
      </c>
      <c r="D577" s="6">
        <v>36.67</v>
      </c>
      <c r="E577">
        <v>374.57</v>
      </c>
      <c r="F577">
        <v>446.8</v>
      </c>
      <c r="G577">
        <v>207.14</v>
      </c>
      <c r="H577">
        <v>28.09</v>
      </c>
      <c r="I577" t="s">
        <v>13</v>
      </c>
      <c r="J577" s="1">
        <v>45567</v>
      </c>
      <c r="K577">
        <v>2024</v>
      </c>
    </row>
    <row r="578" spans="1:11" x14ac:dyDescent="0.25">
      <c r="A578">
        <v>642</v>
      </c>
      <c r="B578" t="s">
        <v>14</v>
      </c>
      <c r="C578" t="s">
        <v>12</v>
      </c>
      <c r="D578" s="6">
        <v>74.150000000000006</v>
      </c>
      <c r="E578">
        <v>352.91</v>
      </c>
      <c r="F578">
        <v>534.11</v>
      </c>
      <c r="G578">
        <v>200.5</v>
      </c>
      <c r="H578">
        <v>37.53</v>
      </c>
      <c r="I578" t="s">
        <v>22</v>
      </c>
      <c r="J578" s="1">
        <v>45568</v>
      </c>
      <c r="K578">
        <v>2024</v>
      </c>
    </row>
    <row r="579" spans="1:11" x14ac:dyDescent="0.25">
      <c r="A579">
        <v>643</v>
      </c>
      <c r="B579" t="s">
        <v>21</v>
      </c>
      <c r="C579" t="s">
        <v>16</v>
      </c>
      <c r="D579" s="6">
        <v>50.8</v>
      </c>
      <c r="E579">
        <v>481.32</v>
      </c>
      <c r="F579">
        <v>423.14</v>
      </c>
      <c r="G579">
        <v>267.27</v>
      </c>
      <c r="H579">
        <v>40.94</v>
      </c>
      <c r="I579" t="s">
        <v>13</v>
      </c>
      <c r="J579" s="1">
        <v>45569</v>
      </c>
      <c r="K579">
        <v>2024</v>
      </c>
    </row>
    <row r="580" spans="1:11" x14ac:dyDescent="0.25">
      <c r="A580">
        <v>644</v>
      </c>
      <c r="B580" t="s">
        <v>14</v>
      </c>
      <c r="C580" t="s">
        <v>19</v>
      </c>
      <c r="D580" s="6">
        <v>53.48</v>
      </c>
      <c r="E580">
        <v>438.24</v>
      </c>
      <c r="F580">
        <v>436.1</v>
      </c>
      <c r="G580">
        <v>194.58</v>
      </c>
      <c r="H580">
        <v>28.83</v>
      </c>
      <c r="I580" t="s">
        <v>18</v>
      </c>
      <c r="J580" s="1">
        <v>45570</v>
      </c>
      <c r="K580">
        <v>2024</v>
      </c>
    </row>
    <row r="581" spans="1:11" x14ac:dyDescent="0.25">
      <c r="A581">
        <v>645</v>
      </c>
      <c r="B581" t="s">
        <v>21</v>
      </c>
      <c r="C581" t="s">
        <v>12</v>
      </c>
      <c r="D581" s="6">
        <v>41.92</v>
      </c>
      <c r="E581">
        <v>676.17</v>
      </c>
      <c r="F581">
        <v>480.02</v>
      </c>
      <c r="G581">
        <v>268.74</v>
      </c>
      <c r="H581">
        <v>22.4</v>
      </c>
      <c r="I581" t="s">
        <v>34</v>
      </c>
      <c r="J581" s="1">
        <v>45571</v>
      </c>
      <c r="K581">
        <v>2024</v>
      </c>
    </row>
    <row r="582" spans="1:11" x14ac:dyDescent="0.25">
      <c r="A582">
        <v>646</v>
      </c>
      <c r="B582" t="s">
        <v>21</v>
      </c>
      <c r="C582" t="s">
        <v>12</v>
      </c>
      <c r="D582" s="6">
        <v>46.85</v>
      </c>
      <c r="E582">
        <v>471.72</v>
      </c>
      <c r="F582">
        <v>618.07000000000005</v>
      </c>
      <c r="G582">
        <v>184.24</v>
      </c>
      <c r="H582">
        <v>34.74</v>
      </c>
      <c r="I582" t="s">
        <v>22</v>
      </c>
      <c r="J582" s="1">
        <v>45572</v>
      </c>
      <c r="K582">
        <v>2024</v>
      </c>
    </row>
    <row r="583" spans="1:11" x14ac:dyDescent="0.25">
      <c r="A583">
        <v>647</v>
      </c>
      <c r="B583" t="s">
        <v>21</v>
      </c>
      <c r="C583" t="s">
        <v>15</v>
      </c>
      <c r="D583" s="6">
        <v>45.73</v>
      </c>
      <c r="E583">
        <v>628.94000000000005</v>
      </c>
      <c r="F583">
        <v>344.08</v>
      </c>
      <c r="G583">
        <v>246.32</v>
      </c>
      <c r="H583">
        <v>31.12</v>
      </c>
      <c r="I583" t="s">
        <v>18</v>
      </c>
      <c r="J583" s="1">
        <v>45573</v>
      </c>
      <c r="K583">
        <v>2024</v>
      </c>
    </row>
    <row r="584" spans="1:11" x14ac:dyDescent="0.25">
      <c r="A584">
        <v>648</v>
      </c>
      <c r="B584" t="s">
        <v>21</v>
      </c>
      <c r="C584" t="s">
        <v>16</v>
      </c>
      <c r="D584" s="6">
        <v>44.58</v>
      </c>
      <c r="E584">
        <v>596.79999999999995</v>
      </c>
      <c r="F584">
        <v>571.1</v>
      </c>
      <c r="G584">
        <v>211.43</v>
      </c>
      <c r="H584">
        <v>32.51</v>
      </c>
      <c r="I584" t="s">
        <v>13</v>
      </c>
      <c r="J584" s="1">
        <v>45574</v>
      </c>
      <c r="K584">
        <v>2024</v>
      </c>
    </row>
    <row r="585" spans="1:11" x14ac:dyDescent="0.25">
      <c r="A585">
        <v>649</v>
      </c>
      <c r="B585" t="s">
        <v>21</v>
      </c>
      <c r="C585" t="s">
        <v>15</v>
      </c>
      <c r="D585" s="6">
        <v>56.33</v>
      </c>
      <c r="E585">
        <v>479.1</v>
      </c>
      <c r="F585">
        <v>575.02</v>
      </c>
      <c r="G585">
        <v>286.49</v>
      </c>
      <c r="H585">
        <v>28.3</v>
      </c>
      <c r="I585" t="s">
        <v>22</v>
      </c>
      <c r="J585" s="1">
        <v>45575</v>
      </c>
      <c r="K585">
        <v>2024</v>
      </c>
    </row>
    <row r="586" spans="1:11" x14ac:dyDescent="0.25">
      <c r="A586">
        <v>650</v>
      </c>
      <c r="B586" t="s">
        <v>17</v>
      </c>
      <c r="C586" t="s">
        <v>20</v>
      </c>
      <c r="D586" s="6">
        <v>45.5</v>
      </c>
      <c r="E586">
        <v>711.01</v>
      </c>
      <c r="F586">
        <v>574.29999999999995</v>
      </c>
      <c r="G586">
        <v>126.15</v>
      </c>
      <c r="H586">
        <v>25.58</v>
      </c>
      <c r="I586" t="s">
        <v>18</v>
      </c>
      <c r="J586" s="1">
        <v>45576</v>
      </c>
      <c r="K586">
        <v>2024</v>
      </c>
    </row>
    <row r="587" spans="1:11" x14ac:dyDescent="0.25">
      <c r="A587">
        <v>651</v>
      </c>
      <c r="B587" t="s">
        <v>14</v>
      </c>
      <c r="C587" t="s">
        <v>15</v>
      </c>
      <c r="D587" s="6">
        <v>60.18</v>
      </c>
      <c r="E587">
        <v>526.85</v>
      </c>
      <c r="F587">
        <v>383.19</v>
      </c>
      <c r="G587">
        <v>141.81</v>
      </c>
      <c r="H587">
        <v>35.799999999999997</v>
      </c>
      <c r="I587" t="s">
        <v>22</v>
      </c>
      <c r="J587" s="1">
        <v>45577</v>
      </c>
      <c r="K587">
        <v>2024</v>
      </c>
    </row>
    <row r="588" spans="1:11" x14ac:dyDescent="0.25">
      <c r="A588">
        <v>652</v>
      </c>
      <c r="B588" t="s">
        <v>34</v>
      </c>
      <c r="C588" t="s">
        <v>15</v>
      </c>
      <c r="D588" s="6">
        <v>76.63</v>
      </c>
      <c r="E588">
        <v>651.29999999999995</v>
      </c>
      <c r="F588">
        <v>276.88</v>
      </c>
      <c r="G588">
        <v>291.58</v>
      </c>
      <c r="H588">
        <v>31.6</v>
      </c>
      <c r="I588" t="s">
        <v>18</v>
      </c>
      <c r="J588" s="1">
        <v>45578</v>
      </c>
      <c r="K588">
        <v>2024</v>
      </c>
    </row>
    <row r="589" spans="1:11" x14ac:dyDescent="0.25">
      <c r="A589">
        <v>653</v>
      </c>
      <c r="B589" t="s">
        <v>34</v>
      </c>
      <c r="C589" t="s">
        <v>19</v>
      </c>
      <c r="D589" s="6">
        <v>47.04</v>
      </c>
      <c r="E589">
        <v>639.66</v>
      </c>
      <c r="F589">
        <v>547.16</v>
      </c>
      <c r="G589">
        <v>163.34</v>
      </c>
      <c r="H589">
        <v>22.78</v>
      </c>
      <c r="I589" t="s">
        <v>18</v>
      </c>
      <c r="J589" s="1">
        <v>45579</v>
      </c>
      <c r="K589">
        <v>2024</v>
      </c>
    </row>
    <row r="590" spans="1:11" x14ac:dyDescent="0.25">
      <c r="A590">
        <v>654</v>
      </c>
      <c r="B590" t="s">
        <v>21</v>
      </c>
      <c r="C590" t="s">
        <v>34</v>
      </c>
      <c r="D590" s="6">
        <v>51.52</v>
      </c>
      <c r="E590">
        <v>541.46</v>
      </c>
      <c r="F590">
        <v>502.5</v>
      </c>
      <c r="G590">
        <v>166.51</v>
      </c>
      <c r="H590">
        <v>33.43</v>
      </c>
      <c r="I590" t="s">
        <v>13</v>
      </c>
      <c r="J590" s="1">
        <v>45580</v>
      </c>
      <c r="K590">
        <v>2024</v>
      </c>
    </row>
    <row r="591" spans="1:11" x14ac:dyDescent="0.25">
      <c r="A591">
        <v>655</v>
      </c>
      <c r="B591" t="s">
        <v>14</v>
      </c>
      <c r="C591" t="s">
        <v>12</v>
      </c>
      <c r="D591" s="6">
        <v>53.79</v>
      </c>
      <c r="E591">
        <v>575.11</v>
      </c>
      <c r="F591">
        <v>600.53</v>
      </c>
      <c r="G591">
        <v>156.21</v>
      </c>
      <c r="H591">
        <v>32.43</v>
      </c>
      <c r="I591" t="s">
        <v>34</v>
      </c>
      <c r="J591" s="1">
        <v>45581</v>
      </c>
      <c r="K591">
        <v>2024</v>
      </c>
    </row>
    <row r="592" spans="1:11" x14ac:dyDescent="0.25">
      <c r="A592">
        <v>656</v>
      </c>
      <c r="B592" t="s">
        <v>21</v>
      </c>
      <c r="C592" t="s">
        <v>16</v>
      </c>
      <c r="D592" s="6">
        <v>68.12</v>
      </c>
      <c r="E592">
        <v>562.41</v>
      </c>
      <c r="F592">
        <v>395.94</v>
      </c>
      <c r="G592">
        <v>257.42</v>
      </c>
      <c r="H592">
        <v>28.37</v>
      </c>
      <c r="I592" t="s">
        <v>13</v>
      </c>
      <c r="J592" s="1">
        <v>45582</v>
      </c>
      <c r="K592">
        <v>2024</v>
      </c>
    </row>
    <row r="593" spans="1:11" x14ac:dyDescent="0.25">
      <c r="A593">
        <v>657</v>
      </c>
      <c r="B593" t="s">
        <v>14</v>
      </c>
      <c r="C593" t="s">
        <v>15</v>
      </c>
      <c r="D593" s="6">
        <v>245.87</v>
      </c>
      <c r="E593">
        <v>1542.3</v>
      </c>
      <c r="F593">
        <v>571.21</v>
      </c>
      <c r="G593">
        <v>137.33000000000001</v>
      </c>
      <c r="H593">
        <v>38.1</v>
      </c>
      <c r="I593" t="s">
        <v>18</v>
      </c>
      <c r="J593" s="1">
        <v>45583</v>
      </c>
      <c r="K593">
        <v>2024</v>
      </c>
    </row>
    <row r="594" spans="1:11" x14ac:dyDescent="0.25">
      <c r="A594">
        <v>658</v>
      </c>
      <c r="B594" t="s">
        <v>17</v>
      </c>
      <c r="C594" t="s">
        <v>16</v>
      </c>
      <c r="D594" s="6">
        <v>41.71</v>
      </c>
      <c r="E594">
        <v>505.73</v>
      </c>
      <c r="F594">
        <v>606.53</v>
      </c>
      <c r="G594">
        <v>201.12</v>
      </c>
      <c r="H594">
        <v>26.91</v>
      </c>
      <c r="I594" t="s">
        <v>22</v>
      </c>
      <c r="J594" s="1">
        <v>45584</v>
      </c>
      <c r="K594">
        <v>2024</v>
      </c>
    </row>
    <row r="595" spans="1:11" x14ac:dyDescent="0.25">
      <c r="A595">
        <v>659</v>
      </c>
      <c r="B595" t="s">
        <v>14</v>
      </c>
      <c r="C595" t="s">
        <v>34</v>
      </c>
      <c r="D595" s="6">
        <v>37.340000000000003</v>
      </c>
      <c r="E595">
        <v>607.41999999999996</v>
      </c>
      <c r="F595">
        <v>468.56</v>
      </c>
      <c r="G595">
        <v>186.72</v>
      </c>
      <c r="H595">
        <v>29.16</v>
      </c>
      <c r="I595" t="s">
        <v>13</v>
      </c>
      <c r="J595" s="1">
        <v>45585</v>
      </c>
      <c r="K595">
        <v>2024</v>
      </c>
    </row>
    <row r="596" spans="1:11" x14ac:dyDescent="0.25">
      <c r="A596">
        <v>660</v>
      </c>
      <c r="B596" t="s">
        <v>11</v>
      </c>
      <c r="C596" t="s">
        <v>34</v>
      </c>
      <c r="D596" s="6">
        <v>49.42</v>
      </c>
      <c r="E596">
        <v>652.62</v>
      </c>
      <c r="F596">
        <v>530.03</v>
      </c>
      <c r="G596">
        <v>251.83</v>
      </c>
      <c r="H596">
        <v>33.840000000000003</v>
      </c>
      <c r="I596" t="s">
        <v>34</v>
      </c>
      <c r="J596" s="1">
        <v>45586</v>
      </c>
      <c r="K596">
        <v>2024</v>
      </c>
    </row>
    <row r="597" spans="1:11" x14ac:dyDescent="0.25">
      <c r="A597">
        <v>661</v>
      </c>
      <c r="B597" t="s">
        <v>14</v>
      </c>
      <c r="C597" t="s">
        <v>15</v>
      </c>
      <c r="D597" s="6">
        <v>227.58</v>
      </c>
      <c r="E597">
        <v>1711.74</v>
      </c>
      <c r="F597">
        <v>525.84</v>
      </c>
      <c r="G597">
        <v>171.82</v>
      </c>
      <c r="H597">
        <v>30.38</v>
      </c>
      <c r="I597" t="s">
        <v>18</v>
      </c>
      <c r="J597" s="1">
        <v>45587</v>
      </c>
      <c r="K597">
        <v>2024</v>
      </c>
    </row>
    <row r="598" spans="1:11" x14ac:dyDescent="0.25">
      <c r="A598">
        <v>662</v>
      </c>
      <c r="B598" t="s">
        <v>14</v>
      </c>
      <c r="C598" t="s">
        <v>20</v>
      </c>
      <c r="D598" s="6">
        <v>70.099999999999994</v>
      </c>
      <c r="E598">
        <v>552.88</v>
      </c>
      <c r="F598">
        <v>381.42</v>
      </c>
      <c r="G598">
        <v>220.76</v>
      </c>
      <c r="H598">
        <v>23.08</v>
      </c>
      <c r="I598" t="s">
        <v>13</v>
      </c>
      <c r="J598" s="1">
        <v>45588</v>
      </c>
      <c r="K598">
        <v>2024</v>
      </c>
    </row>
    <row r="599" spans="1:11" x14ac:dyDescent="0.25">
      <c r="A599">
        <v>664</v>
      </c>
      <c r="B599" t="s">
        <v>14</v>
      </c>
      <c r="C599" t="s">
        <v>19</v>
      </c>
      <c r="D599" s="6">
        <v>39.659999999999997</v>
      </c>
      <c r="E599">
        <v>488.21</v>
      </c>
      <c r="F599">
        <v>674.7</v>
      </c>
      <c r="G599">
        <v>313.7</v>
      </c>
      <c r="H599">
        <v>27.93</v>
      </c>
      <c r="I599" t="s">
        <v>13</v>
      </c>
      <c r="J599" s="1">
        <v>45590</v>
      </c>
      <c r="K599">
        <v>2024</v>
      </c>
    </row>
    <row r="600" spans="1:11" x14ac:dyDescent="0.25">
      <c r="A600">
        <v>665</v>
      </c>
      <c r="B600" t="s">
        <v>11</v>
      </c>
      <c r="C600" t="s">
        <v>12</v>
      </c>
      <c r="D600" s="6">
        <v>42.89</v>
      </c>
      <c r="E600">
        <v>535.6</v>
      </c>
      <c r="F600">
        <v>482.66</v>
      </c>
      <c r="G600">
        <v>188.02</v>
      </c>
      <c r="H600">
        <v>34.28</v>
      </c>
      <c r="I600" t="s">
        <v>13</v>
      </c>
      <c r="J600" s="1">
        <v>45591</v>
      </c>
      <c r="K600">
        <v>2024</v>
      </c>
    </row>
    <row r="601" spans="1:11" x14ac:dyDescent="0.25">
      <c r="A601">
        <v>666</v>
      </c>
      <c r="B601" t="s">
        <v>21</v>
      </c>
      <c r="C601" t="s">
        <v>20</v>
      </c>
      <c r="D601" s="6">
        <v>50.74</v>
      </c>
      <c r="E601">
        <v>521.79999999999995</v>
      </c>
      <c r="F601">
        <v>304.69</v>
      </c>
      <c r="G601">
        <v>200.44</v>
      </c>
      <c r="H601">
        <v>30.76</v>
      </c>
      <c r="I601" t="s">
        <v>22</v>
      </c>
      <c r="J601" s="1">
        <v>45592</v>
      </c>
      <c r="K601">
        <v>2024</v>
      </c>
    </row>
    <row r="602" spans="1:11" x14ac:dyDescent="0.25">
      <c r="A602">
        <v>667</v>
      </c>
      <c r="B602" t="s">
        <v>14</v>
      </c>
      <c r="C602" t="s">
        <v>15</v>
      </c>
      <c r="D602" s="6">
        <v>63.97</v>
      </c>
      <c r="E602">
        <v>554.14</v>
      </c>
      <c r="F602">
        <v>397.53</v>
      </c>
      <c r="G602">
        <v>282.74</v>
      </c>
      <c r="H602">
        <v>30.47</v>
      </c>
      <c r="I602" t="s">
        <v>34</v>
      </c>
      <c r="J602" s="1">
        <v>45593</v>
      </c>
      <c r="K602">
        <v>2024</v>
      </c>
    </row>
    <row r="603" spans="1:11" x14ac:dyDescent="0.25">
      <c r="A603">
        <v>668</v>
      </c>
      <c r="B603" t="s">
        <v>14</v>
      </c>
      <c r="C603" t="s">
        <v>16</v>
      </c>
      <c r="D603" s="6">
        <v>50.57</v>
      </c>
      <c r="E603">
        <v>644.16999999999996</v>
      </c>
      <c r="F603">
        <v>266.47000000000003</v>
      </c>
      <c r="G603">
        <v>170.67</v>
      </c>
      <c r="H603">
        <v>24.76</v>
      </c>
      <c r="I603" t="s">
        <v>34</v>
      </c>
      <c r="J603" s="1">
        <v>45594</v>
      </c>
      <c r="K603">
        <v>2024</v>
      </c>
    </row>
    <row r="604" spans="1:11" x14ac:dyDescent="0.25">
      <c r="A604">
        <v>669</v>
      </c>
      <c r="B604" t="s">
        <v>17</v>
      </c>
      <c r="C604" t="s">
        <v>20</v>
      </c>
      <c r="D604" s="6">
        <v>43.53</v>
      </c>
      <c r="E604">
        <v>578.41</v>
      </c>
      <c r="F604">
        <v>634.83000000000004</v>
      </c>
      <c r="G604">
        <v>283.37</v>
      </c>
      <c r="H604">
        <v>28.85</v>
      </c>
      <c r="I604" t="s">
        <v>18</v>
      </c>
      <c r="J604" s="1">
        <v>45595</v>
      </c>
      <c r="K604">
        <v>2024</v>
      </c>
    </row>
    <row r="605" spans="1:11" x14ac:dyDescent="0.25">
      <c r="A605">
        <v>670</v>
      </c>
      <c r="B605" t="s">
        <v>14</v>
      </c>
      <c r="C605" t="s">
        <v>20</v>
      </c>
      <c r="D605" s="6">
        <v>49.41</v>
      </c>
      <c r="E605">
        <v>531.05999999999995</v>
      </c>
      <c r="F605">
        <v>571.69000000000005</v>
      </c>
      <c r="G605">
        <v>179.43</v>
      </c>
      <c r="H605">
        <v>34.85</v>
      </c>
      <c r="I605" t="s">
        <v>13</v>
      </c>
      <c r="J605" s="1">
        <v>45596</v>
      </c>
      <c r="K605">
        <v>2024</v>
      </c>
    </row>
    <row r="606" spans="1:11" x14ac:dyDescent="0.25">
      <c r="A606">
        <v>671</v>
      </c>
      <c r="B606" t="s">
        <v>17</v>
      </c>
      <c r="C606" t="s">
        <v>15</v>
      </c>
      <c r="D606" s="6">
        <v>43.72</v>
      </c>
      <c r="E606">
        <v>686.46</v>
      </c>
      <c r="F606">
        <v>419.84</v>
      </c>
      <c r="G606">
        <v>233.58</v>
      </c>
      <c r="H606">
        <v>26.12</v>
      </c>
      <c r="I606" t="s">
        <v>22</v>
      </c>
      <c r="J606" s="1">
        <v>45597</v>
      </c>
      <c r="K606">
        <v>2024</v>
      </c>
    </row>
    <row r="607" spans="1:11" x14ac:dyDescent="0.25">
      <c r="A607">
        <v>672</v>
      </c>
      <c r="B607" t="s">
        <v>11</v>
      </c>
      <c r="C607" t="s">
        <v>20</v>
      </c>
      <c r="D607" s="6">
        <v>56.02</v>
      </c>
      <c r="E607">
        <v>610.99</v>
      </c>
      <c r="F607">
        <v>309.83</v>
      </c>
      <c r="G607">
        <v>171.37</v>
      </c>
      <c r="H607">
        <v>29.84</v>
      </c>
      <c r="I607" t="s">
        <v>18</v>
      </c>
      <c r="J607" s="1">
        <v>45598</v>
      </c>
      <c r="K607">
        <v>2024</v>
      </c>
    </row>
    <row r="608" spans="1:11" x14ac:dyDescent="0.25">
      <c r="A608">
        <v>674</v>
      </c>
      <c r="B608" t="s">
        <v>14</v>
      </c>
      <c r="C608" t="s">
        <v>34</v>
      </c>
      <c r="D608" s="6">
        <v>44.9</v>
      </c>
      <c r="E608">
        <v>378.29</v>
      </c>
      <c r="F608">
        <v>403.41</v>
      </c>
      <c r="G608">
        <v>220.73</v>
      </c>
      <c r="H608">
        <v>24.08</v>
      </c>
      <c r="I608" t="s">
        <v>13</v>
      </c>
      <c r="J608" s="1">
        <v>45600</v>
      </c>
      <c r="K608">
        <v>2024</v>
      </c>
    </row>
    <row r="609" spans="1:11" x14ac:dyDescent="0.25">
      <c r="A609">
        <v>675</v>
      </c>
      <c r="B609" t="s">
        <v>34</v>
      </c>
      <c r="C609" t="s">
        <v>20</v>
      </c>
      <c r="D609" s="6">
        <v>61.62</v>
      </c>
      <c r="E609">
        <v>401.22</v>
      </c>
      <c r="F609">
        <v>493.13</v>
      </c>
      <c r="G609">
        <v>232</v>
      </c>
      <c r="H609">
        <v>29.58</v>
      </c>
      <c r="I609" t="s">
        <v>13</v>
      </c>
      <c r="J609" s="1">
        <v>45601</v>
      </c>
      <c r="K609">
        <v>2024</v>
      </c>
    </row>
    <row r="610" spans="1:11" x14ac:dyDescent="0.25">
      <c r="A610">
        <v>676</v>
      </c>
      <c r="B610" t="s">
        <v>34</v>
      </c>
      <c r="C610" t="s">
        <v>34</v>
      </c>
      <c r="D610" s="6">
        <v>216.1</v>
      </c>
      <c r="E610">
        <v>593.32000000000005</v>
      </c>
      <c r="F610">
        <v>489.09</v>
      </c>
      <c r="G610">
        <v>134.21</v>
      </c>
      <c r="H610">
        <v>30.87</v>
      </c>
      <c r="I610" t="s">
        <v>13</v>
      </c>
      <c r="J610" s="1">
        <v>45602</v>
      </c>
      <c r="K610">
        <v>2024</v>
      </c>
    </row>
    <row r="611" spans="1:11" x14ac:dyDescent="0.25">
      <c r="A611">
        <v>677</v>
      </c>
      <c r="B611" t="s">
        <v>21</v>
      </c>
      <c r="C611" t="s">
        <v>16</v>
      </c>
      <c r="D611" s="6">
        <v>35.54</v>
      </c>
      <c r="E611">
        <v>436.97</v>
      </c>
      <c r="F611">
        <v>640.97</v>
      </c>
      <c r="G611">
        <v>184.65</v>
      </c>
      <c r="H611">
        <v>39.97</v>
      </c>
      <c r="I611" t="s">
        <v>22</v>
      </c>
      <c r="J611" s="1">
        <v>45603</v>
      </c>
      <c r="K611">
        <v>2024</v>
      </c>
    </row>
    <row r="612" spans="1:11" x14ac:dyDescent="0.25">
      <c r="A612">
        <v>678</v>
      </c>
      <c r="B612" t="s">
        <v>14</v>
      </c>
      <c r="C612" t="s">
        <v>15</v>
      </c>
      <c r="D612" s="6">
        <v>50.95</v>
      </c>
      <c r="E612">
        <v>399.19</v>
      </c>
      <c r="F612">
        <v>396.87</v>
      </c>
      <c r="G612">
        <v>260.04000000000002</v>
      </c>
      <c r="H612">
        <v>27.72</v>
      </c>
      <c r="I612" t="s">
        <v>13</v>
      </c>
      <c r="J612" s="1">
        <v>45604</v>
      </c>
      <c r="K612">
        <v>2024</v>
      </c>
    </row>
    <row r="613" spans="1:11" x14ac:dyDescent="0.25">
      <c r="A613">
        <v>680</v>
      </c>
      <c r="B613" t="s">
        <v>14</v>
      </c>
      <c r="C613" t="s">
        <v>20</v>
      </c>
      <c r="D613" s="6">
        <v>55.11</v>
      </c>
      <c r="E613">
        <v>431.26</v>
      </c>
      <c r="F613">
        <v>341.16</v>
      </c>
      <c r="G613">
        <v>180.24</v>
      </c>
      <c r="H613">
        <v>23.75</v>
      </c>
      <c r="I613" t="s">
        <v>13</v>
      </c>
      <c r="J613" s="1">
        <v>45606</v>
      </c>
      <c r="K613">
        <v>2024</v>
      </c>
    </row>
    <row r="614" spans="1:11" x14ac:dyDescent="0.25">
      <c r="A614">
        <v>681</v>
      </c>
      <c r="B614" t="s">
        <v>34</v>
      </c>
      <c r="C614" t="s">
        <v>12</v>
      </c>
      <c r="D614" s="6">
        <v>53.17</v>
      </c>
      <c r="E614">
        <v>585.05999999999995</v>
      </c>
      <c r="F614">
        <v>477.24</v>
      </c>
      <c r="G614">
        <v>170.12</v>
      </c>
      <c r="H614">
        <v>33.06</v>
      </c>
      <c r="I614" t="s">
        <v>13</v>
      </c>
      <c r="J614" s="1">
        <v>45607</v>
      </c>
      <c r="K614">
        <v>2024</v>
      </c>
    </row>
    <row r="615" spans="1:11" x14ac:dyDescent="0.25">
      <c r="A615">
        <v>682</v>
      </c>
      <c r="B615" t="s">
        <v>14</v>
      </c>
      <c r="C615" t="s">
        <v>16</v>
      </c>
      <c r="D615" s="6">
        <v>49.68</v>
      </c>
      <c r="E615">
        <v>484.33</v>
      </c>
      <c r="F615">
        <v>392.56</v>
      </c>
      <c r="G615">
        <v>297.41000000000003</v>
      </c>
      <c r="H615">
        <v>31.99</v>
      </c>
      <c r="I615" t="s">
        <v>34</v>
      </c>
      <c r="J615" s="1">
        <v>45608</v>
      </c>
      <c r="K615">
        <v>2024</v>
      </c>
    </row>
    <row r="616" spans="1:11" x14ac:dyDescent="0.25">
      <c r="A616">
        <v>683</v>
      </c>
      <c r="B616" t="s">
        <v>34</v>
      </c>
      <c r="C616" t="s">
        <v>20</v>
      </c>
      <c r="D616" s="6">
        <v>49.39</v>
      </c>
      <c r="E616">
        <v>362.76</v>
      </c>
      <c r="F616">
        <v>444.96</v>
      </c>
      <c r="G616">
        <v>127.65</v>
      </c>
      <c r="H616">
        <v>37.44</v>
      </c>
      <c r="I616" t="s">
        <v>18</v>
      </c>
      <c r="J616" s="1">
        <v>45609</v>
      </c>
      <c r="K616">
        <v>2024</v>
      </c>
    </row>
    <row r="617" spans="1:11" x14ac:dyDescent="0.25">
      <c r="A617">
        <v>684</v>
      </c>
      <c r="B617" t="s">
        <v>14</v>
      </c>
      <c r="C617" t="s">
        <v>34</v>
      </c>
      <c r="D617" s="6">
        <v>42.64</v>
      </c>
      <c r="E617">
        <v>503.1</v>
      </c>
      <c r="F617">
        <v>425.52</v>
      </c>
      <c r="G617">
        <v>197.04</v>
      </c>
      <c r="H617">
        <v>35.56</v>
      </c>
      <c r="I617" t="s">
        <v>13</v>
      </c>
      <c r="J617" s="1">
        <v>45610</v>
      </c>
      <c r="K617">
        <v>2024</v>
      </c>
    </row>
    <row r="618" spans="1:11" x14ac:dyDescent="0.25">
      <c r="A618">
        <v>687</v>
      </c>
      <c r="B618" t="s">
        <v>21</v>
      </c>
      <c r="C618" t="s">
        <v>20</v>
      </c>
      <c r="D618" s="6">
        <v>40.270000000000003</v>
      </c>
      <c r="E618">
        <v>615.59</v>
      </c>
      <c r="F618">
        <v>434.72</v>
      </c>
      <c r="G618">
        <v>199.64</v>
      </c>
      <c r="H618">
        <v>31.02</v>
      </c>
      <c r="I618" t="s">
        <v>13</v>
      </c>
      <c r="J618" s="1">
        <v>45613</v>
      </c>
      <c r="K618">
        <v>2024</v>
      </c>
    </row>
    <row r="619" spans="1:11" x14ac:dyDescent="0.25">
      <c r="A619">
        <v>688</v>
      </c>
      <c r="B619" t="s">
        <v>14</v>
      </c>
      <c r="C619" t="s">
        <v>12</v>
      </c>
      <c r="D619" s="6">
        <v>49.95</v>
      </c>
      <c r="E619">
        <v>457.91</v>
      </c>
      <c r="F619">
        <v>566.07000000000005</v>
      </c>
      <c r="G619">
        <v>208.91</v>
      </c>
      <c r="H619">
        <v>29.44</v>
      </c>
      <c r="I619" t="s">
        <v>13</v>
      </c>
      <c r="J619" s="1">
        <v>45614</v>
      </c>
      <c r="K619">
        <v>2024</v>
      </c>
    </row>
    <row r="620" spans="1:11" x14ac:dyDescent="0.25">
      <c r="A620">
        <v>689</v>
      </c>
      <c r="B620" t="s">
        <v>14</v>
      </c>
      <c r="C620" t="s">
        <v>20</v>
      </c>
      <c r="D620" s="6">
        <v>60.38</v>
      </c>
      <c r="E620">
        <v>610.83000000000004</v>
      </c>
      <c r="F620">
        <v>412.2</v>
      </c>
      <c r="G620">
        <v>338.44</v>
      </c>
      <c r="H620">
        <v>34.770000000000003</v>
      </c>
      <c r="I620" t="s">
        <v>34</v>
      </c>
      <c r="J620" s="1">
        <v>45615</v>
      </c>
      <c r="K620">
        <v>2024</v>
      </c>
    </row>
    <row r="621" spans="1:11" x14ac:dyDescent="0.25">
      <c r="A621">
        <v>690</v>
      </c>
      <c r="B621" t="s">
        <v>21</v>
      </c>
      <c r="C621" t="s">
        <v>15</v>
      </c>
      <c r="D621" s="6">
        <v>55.05</v>
      </c>
      <c r="E621">
        <v>559.67999999999995</v>
      </c>
      <c r="F621">
        <v>530.79</v>
      </c>
      <c r="G621">
        <v>170.33</v>
      </c>
      <c r="H621">
        <v>34.130000000000003</v>
      </c>
      <c r="I621" t="s">
        <v>18</v>
      </c>
      <c r="J621" s="1">
        <v>45616</v>
      </c>
      <c r="K621">
        <v>2024</v>
      </c>
    </row>
    <row r="622" spans="1:11" x14ac:dyDescent="0.25">
      <c r="A622">
        <v>691</v>
      </c>
      <c r="B622" t="s">
        <v>11</v>
      </c>
      <c r="C622" t="s">
        <v>34</v>
      </c>
      <c r="D622" s="6">
        <v>63.09</v>
      </c>
      <c r="E622">
        <v>592.66</v>
      </c>
      <c r="F622">
        <v>519.78</v>
      </c>
      <c r="G622">
        <v>287.43</v>
      </c>
      <c r="H622">
        <v>28.52</v>
      </c>
      <c r="I622" t="s">
        <v>22</v>
      </c>
      <c r="J622" s="1">
        <v>45617</v>
      </c>
      <c r="K622">
        <v>2024</v>
      </c>
    </row>
    <row r="623" spans="1:11" x14ac:dyDescent="0.25">
      <c r="A623">
        <v>692</v>
      </c>
      <c r="B623" t="s">
        <v>14</v>
      </c>
      <c r="C623" t="s">
        <v>12</v>
      </c>
      <c r="D623" s="6">
        <v>44.32</v>
      </c>
      <c r="E623">
        <v>390.14</v>
      </c>
      <c r="F623">
        <v>497.01</v>
      </c>
      <c r="G623">
        <v>180.46</v>
      </c>
      <c r="H623">
        <v>22.69</v>
      </c>
      <c r="I623" t="s">
        <v>18</v>
      </c>
      <c r="J623" s="1">
        <v>45618</v>
      </c>
      <c r="K623">
        <v>2024</v>
      </c>
    </row>
    <row r="624" spans="1:11" x14ac:dyDescent="0.25">
      <c r="A624">
        <v>693</v>
      </c>
      <c r="B624" t="s">
        <v>21</v>
      </c>
      <c r="C624" t="s">
        <v>19</v>
      </c>
      <c r="D624" s="6">
        <v>31.69</v>
      </c>
      <c r="E624">
        <v>509.83</v>
      </c>
      <c r="F624">
        <v>343.87</v>
      </c>
      <c r="G624">
        <v>188.32</v>
      </c>
      <c r="H624">
        <v>36.67</v>
      </c>
      <c r="I624" t="s">
        <v>13</v>
      </c>
      <c r="J624" s="1">
        <v>45619</v>
      </c>
      <c r="K624">
        <v>2024</v>
      </c>
    </row>
    <row r="625" spans="1:11" x14ac:dyDescent="0.25">
      <c r="A625">
        <v>694</v>
      </c>
      <c r="B625" t="s">
        <v>14</v>
      </c>
      <c r="C625" t="s">
        <v>19</v>
      </c>
      <c r="D625" s="6">
        <v>52.01</v>
      </c>
      <c r="E625">
        <v>494.72</v>
      </c>
      <c r="F625">
        <v>627.57000000000005</v>
      </c>
      <c r="G625">
        <v>331.91</v>
      </c>
      <c r="H625">
        <v>32.909999999999997</v>
      </c>
      <c r="I625" t="s">
        <v>18</v>
      </c>
      <c r="J625" s="1">
        <v>45620</v>
      </c>
      <c r="K625">
        <v>2024</v>
      </c>
    </row>
    <row r="626" spans="1:11" x14ac:dyDescent="0.25">
      <c r="A626">
        <v>695</v>
      </c>
      <c r="B626" t="s">
        <v>17</v>
      </c>
      <c r="C626" t="s">
        <v>16</v>
      </c>
      <c r="D626" s="6">
        <v>53.63</v>
      </c>
      <c r="E626">
        <v>357.8</v>
      </c>
      <c r="F626">
        <v>746.48</v>
      </c>
      <c r="G626">
        <v>191.95</v>
      </c>
      <c r="H626">
        <v>28.4</v>
      </c>
      <c r="I626" t="s">
        <v>13</v>
      </c>
      <c r="J626" s="1">
        <v>45621</v>
      </c>
      <c r="K626">
        <v>2024</v>
      </c>
    </row>
    <row r="627" spans="1:11" x14ac:dyDescent="0.25">
      <c r="A627">
        <v>696</v>
      </c>
      <c r="B627" t="s">
        <v>17</v>
      </c>
      <c r="C627" t="s">
        <v>20</v>
      </c>
      <c r="D627" s="6">
        <v>63.68</v>
      </c>
      <c r="E627">
        <v>610.51</v>
      </c>
      <c r="F627">
        <v>481.06</v>
      </c>
      <c r="G627">
        <v>131.28</v>
      </c>
      <c r="H627">
        <v>32.71</v>
      </c>
      <c r="I627" t="s">
        <v>13</v>
      </c>
      <c r="J627" s="1">
        <v>45622</v>
      </c>
      <c r="K627">
        <v>2024</v>
      </c>
    </row>
    <row r="628" spans="1:11" x14ac:dyDescent="0.25">
      <c r="A628">
        <v>697</v>
      </c>
      <c r="B628" t="s">
        <v>14</v>
      </c>
      <c r="C628" t="s">
        <v>12</v>
      </c>
      <c r="D628" s="6">
        <v>61.88</v>
      </c>
      <c r="E628">
        <v>418.26</v>
      </c>
      <c r="F628">
        <v>354.44</v>
      </c>
      <c r="G628">
        <v>214.1</v>
      </c>
      <c r="H628">
        <v>30.37</v>
      </c>
      <c r="I628" t="s">
        <v>18</v>
      </c>
      <c r="J628" s="1">
        <v>45623</v>
      </c>
      <c r="K628">
        <v>2024</v>
      </c>
    </row>
    <row r="629" spans="1:11" x14ac:dyDescent="0.25">
      <c r="A629">
        <v>698</v>
      </c>
      <c r="B629" t="s">
        <v>11</v>
      </c>
      <c r="C629" t="s">
        <v>16</v>
      </c>
      <c r="D629" s="6">
        <v>55.37</v>
      </c>
      <c r="E629">
        <v>439.04</v>
      </c>
      <c r="F629">
        <v>483.49</v>
      </c>
      <c r="G629">
        <v>191.36</v>
      </c>
      <c r="H629">
        <v>36.590000000000003</v>
      </c>
      <c r="I629" t="s">
        <v>13</v>
      </c>
      <c r="J629" s="1">
        <v>45624</v>
      </c>
      <c r="K629">
        <v>2024</v>
      </c>
    </row>
    <row r="630" spans="1:11" x14ac:dyDescent="0.25">
      <c r="A630">
        <v>699</v>
      </c>
      <c r="B630" t="s">
        <v>11</v>
      </c>
      <c r="C630" t="s">
        <v>12</v>
      </c>
      <c r="D630" s="6">
        <v>57.65</v>
      </c>
      <c r="E630">
        <v>398.67</v>
      </c>
      <c r="F630">
        <v>598.78</v>
      </c>
      <c r="G630">
        <v>218.35</v>
      </c>
      <c r="H630">
        <v>20.350000000000001</v>
      </c>
      <c r="I630" t="s">
        <v>22</v>
      </c>
      <c r="J630" s="1">
        <v>45625</v>
      </c>
      <c r="K630">
        <v>2024</v>
      </c>
    </row>
    <row r="631" spans="1:11" x14ac:dyDescent="0.25">
      <c r="A631">
        <v>700</v>
      </c>
      <c r="B631" t="s">
        <v>14</v>
      </c>
      <c r="C631" t="s">
        <v>20</v>
      </c>
      <c r="D631" s="6">
        <v>48.08</v>
      </c>
      <c r="E631">
        <v>570.12</v>
      </c>
      <c r="F631">
        <v>406.18</v>
      </c>
      <c r="G631">
        <v>193.32</v>
      </c>
      <c r="H631">
        <v>28.01</v>
      </c>
      <c r="I631" t="s">
        <v>18</v>
      </c>
      <c r="J631" s="1">
        <v>45626</v>
      </c>
      <c r="K631">
        <v>2024</v>
      </c>
    </row>
    <row r="632" spans="1:11" x14ac:dyDescent="0.25">
      <c r="A632">
        <v>701</v>
      </c>
      <c r="B632" t="s">
        <v>14</v>
      </c>
      <c r="C632" t="s">
        <v>19</v>
      </c>
      <c r="D632" s="6">
        <v>37.81</v>
      </c>
      <c r="E632">
        <v>347.41</v>
      </c>
      <c r="F632">
        <v>464.53</v>
      </c>
      <c r="G632">
        <v>310.77999999999997</v>
      </c>
      <c r="H632">
        <v>38</v>
      </c>
      <c r="I632" t="s">
        <v>13</v>
      </c>
      <c r="J632" s="1">
        <v>45627</v>
      </c>
      <c r="K632">
        <v>2024</v>
      </c>
    </row>
    <row r="633" spans="1:11" x14ac:dyDescent="0.25">
      <c r="A633">
        <v>702</v>
      </c>
      <c r="B633" t="s">
        <v>17</v>
      </c>
      <c r="C633" t="s">
        <v>15</v>
      </c>
      <c r="D633" s="6">
        <v>51.18</v>
      </c>
      <c r="E633">
        <v>561.79</v>
      </c>
      <c r="F633">
        <v>520.88</v>
      </c>
      <c r="G633">
        <v>227.84</v>
      </c>
      <c r="H633">
        <v>32.82</v>
      </c>
      <c r="I633" t="s">
        <v>13</v>
      </c>
      <c r="J633" s="1">
        <v>45628</v>
      </c>
      <c r="K633">
        <v>2024</v>
      </c>
    </row>
    <row r="634" spans="1:11" x14ac:dyDescent="0.25">
      <c r="A634">
        <v>703</v>
      </c>
      <c r="B634" t="s">
        <v>11</v>
      </c>
      <c r="C634" t="s">
        <v>19</v>
      </c>
      <c r="D634" s="6">
        <v>59.83</v>
      </c>
      <c r="E634">
        <v>604.45000000000005</v>
      </c>
      <c r="F634">
        <v>624.37</v>
      </c>
      <c r="G634">
        <v>146.25</v>
      </c>
      <c r="H634">
        <v>38.86</v>
      </c>
      <c r="I634" t="s">
        <v>34</v>
      </c>
      <c r="J634" s="1">
        <v>45629</v>
      </c>
      <c r="K634">
        <v>2024</v>
      </c>
    </row>
    <row r="635" spans="1:11" x14ac:dyDescent="0.25">
      <c r="A635">
        <v>704</v>
      </c>
      <c r="B635" t="s">
        <v>14</v>
      </c>
      <c r="C635" t="s">
        <v>16</v>
      </c>
      <c r="D635" s="6">
        <v>56.56</v>
      </c>
      <c r="E635">
        <v>553.72</v>
      </c>
      <c r="F635">
        <v>573.04999999999995</v>
      </c>
      <c r="G635">
        <v>206.23</v>
      </c>
      <c r="H635">
        <v>23.89</v>
      </c>
      <c r="I635" t="s">
        <v>13</v>
      </c>
      <c r="J635" s="1">
        <v>45630</v>
      </c>
      <c r="K635">
        <v>2024</v>
      </c>
    </row>
    <row r="636" spans="1:11" x14ac:dyDescent="0.25">
      <c r="A636">
        <v>705</v>
      </c>
      <c r="B636" t="s">
        <v>34</v>
      </c>
      <c r="C636" t="s">
        <v>34</v>
      </c>
      <c r="D636" s="6">
        <v>58.34</v>
      </c>
      <c r="E636">
        <v>571.26</v>
      </c>
      <c r="F636">
        <v>578.02</v>
      </c>
      <c r="G636">
        <v>160.02000000000001</v>
      </c>
      <c r="H636">
        <v>35.36</v>
      </c>
      <c r="I636" t="s">
        <v>34</v>
      </c>
    </row>
    <row r="637" spans="1:11" x14ac:dyDescent="0.25">
      <c r="A637">
        <v>706</v>
      </c>
      <c r="B637" t="s">
        <v>11</v>
      </c>
      <c r="C637" t="s">
        <v>15</v>
      </c>
      <c r="D637" s="6">
        <v>45.72</v>
      </c>
      <c r="E637">
        <v>575.95000000000005</v>
      </c>
      <c r="F637">
        <v>428.85</v>
      </c>
      <c r="G637">
        <v>187.61</v>
      </c>
      <c r="H637">
        <v>35.06</v>
      </c>
      <c r="I637" t="s">
        <v>13</v>
      </c>
      <c r="J637" s="1">
        <v>45632</v>
      </c>
      <c r="K637">
        <v>2024</v>
      </c>
    </row>
    <row r="638" spans="1:11" x14ac:dyDescent="0.25">
      <c r="A638">
        <v>707</v>
      </c>
      <c r="B638" t="s">
        <v>21</v>
      </c>
      <c r="C638" t="s">
        <v>16</v>
      </c>
      <c r="D638" s="6">
        <v>47.34</v>
      </c>
      <c r="E638">
        <v>405.06</v>
      </c>
      <c r="F638">
        <v>528.23</v>
      </c>
      <c r="G638">
        <v>154.47999999999999</v>
      </c>
      <c r="H638">
        <v>21.59</v>
      </c>
      <c r="I638" t="s">
        <v>22</v>
      </c>
      <c r="J638" s="1">
        <v>45633</v>
      </c>
      <c r="K638">
        <v>2024</v>
      </c>
    </row>
    <row r="639" spans="1:11" x14ac:dyDescent="0.25">
      <c r="A639">
        <v>708</v>
      </c>
      <c r="B639" t="s">
        <v>34</v>
      </c>
      <c r="C639" t="s">
        <v>20</v>
      </c>
      <c r="D639" s="6">
        <v>54.83</v>
      </c>
      <c r="E639">
        <v>643.47</v>
      </c>
      <c r="F639">
        <v>393.36</v>
      </c>
      <c r="G639">
        <v>305.36</v>
      </c>
      <c r="H639">
        <v>28.52</v>
      </c>
      <c r="I639" t="s">
        <v>34</v>
      </c>
      <c r="J639" s="1">
        <v>45634</v>
      </c>
      <c r="K639">
        <v>2024</v>
      </c>
    </row>
    <row r="640" spans="1:11" x14ac:dyDescent="0.25">
      <c r="A640">
        <v>709</v>
      </c>
      <c r="B640" t="s">
        <v>11</v>
      </c>
      <c r="C640" t="s">
        <v>15</v>
      </c>
      <c r="D640" s="6">
        <v>44.53</v>
      </c>
      <c r="E640">
        <v>453.99</v>
      </c>
      <c r="F640">
        <v>581.46</v>
      </c>
      <c r="G640">
        <v>165.43</v>
      </c>
      <c r="H640">
        <v>29.47</v>
      </c>
      <c r="I640" t="s">
        <v>22</v>
      </c>
      <c r="J640" s="1">
        <v>45635</v>
      </c>
      <c r="K640">
        <v>2024</v>
      </c>
    </row>
    <row r="641" spans="1:11" x14ac:dyDescent="0.25">
      <c r="A641">
        <v>710</v>
      </c>
      <c r="B641" t="s">
        <v>17</v>
      </c>
      <c r="C641" t="s">
        <v>16</v>
      </c>
      <c r="D641" s="6">
        <v>44.84</v>
      </c>
      <c r="E641">
        <v>493.36</v>
      </c>
      <c r="F641">
        <v>618.15</v>
      </c>
      <c r="G641">
        <v>234.38</v>
      </c>
      <c r="H641">
        <v>21.9</v>
      </c>
      <c r="I641" t="s">
        <v>13</v>
      </c>
      <c r="J641" s="1">
        <v>45636</v>
      </c>
      <c r="K641">
        <v>2024</v>
      </c>
    </row>
    <row r="642" spans="1:11" x14ac:dyDescent="0.25">
      <c r="A642">
        <v>711</v>
      </c>
      <c r="B642" t="s">
        <v>21</v>
      </c>
      <c r="C642" t="s">
        <v>20</v>
      </c>
      <c r="D642" s="6">
        <v>52.98</v>
      </c>
      <c r="E642">
        <v>466.74</v>
      </c>
      <c r="F642">
        <v>546.4</v>
      </c>
      <c r="G642">
        <v>183.83</v>
      </c>
      <c r="H642">
        <v>28.63</v>
      </c>
      <c r="I642" t="s">
        <v>13</v>
      </c>
      <c r="J642" s="1">
        <v>45637</v>
      </c>
      <c r="K642">
        <v>2024</v>
      </c>
    </row>
    <row r="643" spans="1:11" x14ac:dyDescent="0.25">
      <c r="A643">
        <v>713</v>
      </c>
      <c r="B643" t="s">
        <v>14</v>
      </c>
      <c r="C643" t="s">
        <v>34</v>
      </c>
      <c r="D643" s="6">
        <v>48</v>
      </c>
      <c r="E643">
        <v>446.2</v>
      </c>
      <c r="F643">
        <v>455.55</v>
      </c>
      <c r="G643">
        <v>209.88</v>
      </c>
      <c r="H643">
        <v>28.05</v>
      </c>
      <c r="I643" t="s">
        <v>13</v>
      </c>
      <c r="J643" s="1">
        <v>45639</v>
      </c>
      <c r="K643">
        <v>2024</v>
      </c>
    </row>
    <row r="644" spans="1:11" x14ac:dyDescent="0.25">
      <c r="A644">
        <v>714</v>
      </c>
      <c r="B644" t="s">
        <v>14</v>
      </c>
      <c r="C644" t="s">
        <v>20</v>
      </c>
      <c r="D644" s="6">
        <v>38.369999999999997</v>
      </c>
      <c r="E644">
        <v>506.69</v>
      </c>
      <c r="F644">
        <v>696.78</v>
      </c>
      <c r="G644">
        <v>220.03</v>
      </c>
      <c r="H644">
        <v>31.21</v>
      </c>
      <c r="I644" t="s">
        <v>18</v>
      </c>
      <c r="J644" s="1">
        <v>45640</v>
      </c>
      <c r="K644">
        <v>2024</v>
      </c>
    </row>
    <row r="645" spans="1:11" x14ac:dyDescent="0.25">
      <c r="A645">
        <v>715</v>
      </c>
      <c r="B645" t="s">
        <v>17</v>
      </c>
      <c r="C645" t="s">
        <v>12</v>
      </c>
      <c r="D645" s="6">
        <v>42.64</v>
      </c>
      <c r="E645">
        <v>376.47</v>
      </c>
      <c r="F645">
        <v>437.91</v>
      </c>
      <c r="G645">
        <v>227.93</v>
      </c>
      <c r="H645">
        <v>31.25</v>
      </c>
      <c r="I645" t="s">
        <v>13</v>
      </c>
      <c r="J645" s="1">
        <v>45641</v>
      </c>
      <c r="K645">
        <v>2024</v>
      </c>
    </row>
    <row r="646" spans="1:11" x14ac:dyDescent="0.25">
      <c r="A646">
        <v>716</v>
      </c>
      <c r="B646" t="s">
        <v>11</v>
      </c>
      <c r="C646" t="s">
        <v>20</v>
      </c>
      <c r="D646" s="6">
        <v>52.04</v>
      </c>
      <c r="E646">
        <v>616.47</v>
      </c>
      <c r="F646">
        <v>606</v>
      </c>
      <c r="G646">
        <v>68.89</v>
      </c>
      <c r="H646">
        <v>29.94</v>
      </c>
      <c r="I646" t="s">
        <v>22</v>
      </c>
      <c r="J646" s="1">
        <v>45642</v>
      </c>
      <c r="K646">
        <v>2024</v>
      </c>
    </row>
    <row r="647" spans="1:11" x14ac:dyDescent="0.25">
      <c r="A647">
        <v>717</v>
      </c>
      <c r="B647" t="s">
        <v>14</v>
      </c>
      <c r="C647" t="s">
        <v>20</v>
      </c>
      <c r="D647" s="6">
        <v>51.92</v>
      </c>
      <c r="E647">
        <v>567.07000000000005</v>
      </c>
      <c r="F647">
        <v>520.66999999999996</v>
      </c>
      <c r="G647">
        <v>138.26</v>
      </c>
      <c r="H647">
        <v>26.47</v>
      </c>
      <c r="I647" t="s">
        <v>13</v>
      </c>
      <c r="J647" s="1">
        <v>45643</v>
      </c>
      <c r="K647">
        <v>2024</v>
      </c>
    </row>
    <row r="648" spans="1:11" x14ac:dyDescent="0.25">
      <c r="A648">
        <v>718</v>
      </c>
      <c r="B648" t="s">
        <v>11</v>
      </c>
      <c r="C648" t="s">
        <v>34</v>
      </c>
      <c r="D648" s="6">
        <v>52.41</v>
      </c>
      <c r="E648">
        <v>470.77</v>
      </c>
      <c r="F648">
        <v>439.9</v>
      </c>
      <c r="G648">
        <v>247.88</v>
      </c>
      <c r="H648">
        <v>33.29</v>
      </c>
      <c r="I648" t="s">
        <v>13</v>
      </c>
      <c r="J648" s="1">
        <v>45644</v>
      </c>
      <c r="K648">
        <v>2024</v>
      </c>
    </row>
    <row r="649" spans="1:11" x14ac:dyDescent="0.25">
      <c r="A649">
        <v>719</v>
      </c>
      <c r="B649" t="s">
        <v>17</v>
      </c>
      <c r="C649" t="s">
        <v>12</v>
      </c>
      <c r="D649" s="6">
        <v>55.21</v>
      </c>
      <c r="E649">
        <v>453.09</v>
      </c>
      <c r="F649">
        <v>318.64</v>
      </c>
      <c r="G649">
        <v>153.82</v>
      </c>
      <c r="H649">
        <v>22.06</v>
      </c>
      <c r="I649" t="s">
        <v>13</v>
      </c>
      <c r="J649" s="1">
        <v>45645</v>
      </c>
      <c r="K649">
        <v>2024</v>
      </c>
    </row>
    <row r="650" spans="1:11" x14ac:dyDescent="0.25">
      <c r="A650">
        <v>720</v>
      </c>
      <c r="B650" t="s">
        <v>14</v>
      </c>
      <c r="C650" t="s">
        <v>16</v>
      </c>
      <c r="D650" s="6">
        <v>50.06</v>
      </c>
      <c r="E650">
        <v>564.46</v>
      </c>
      <c r="F650">
        <v>505.39</v>
      </c>
      <c r="G650">
        <v>210.15</v>
      </c>
      <c r="H650">
        <v>30.04</v>
      </c>
      <c r="I650" t="s">
        <v>18</v>
      </c>
      <c r="J650" s="1">
        <v>45646</v>
      </c>
      <c r="K650">
        <v>2024</v>
      </c>
    </row>
    <row r="651" spans="1:11" x14ac:dyDescent="0.25">
      <c r="A651">
        <v>722</v>
      </c>
      <c r="B651" t="s">
        <v>14</v>
      </c>
      <c r="C651" t="s">
        <v>20</v>
      </c>
      <c r="D651" s="6">
        <v>49.55</v>
      </c>
      <c r="E651">
        <v>512.54</v>
      </c>
      <c r="F651">
        <v>696.78</v>
      </c>
      <c r="G651">
        <v>236.58</v>
      </c>
      <c r="H651">
        <v>27.76</v>
      </c>
      <c r="I651" t="s">
        <v>13</v>
      </c>
      <c r="J651" s="1">
        <v>45648</v>
      </c>
      <c r="K651">
        <v>2024</v>
      </c>
    </row>
    <row r="652" spans="1:11" x14ac:dyDescent="0.25">
      <c r="A652">
        <v>723</v>
      </c>
      <c r="B652" t="s">
        <v>34</v>
      </c>
      <c r="C652" t="s">
        <v>12</v>
      </c>
      <c r="D652" s="6">
        <v>61.49</v>
      </c>
      <c r="E652">
        <v>616.14</v>
      </c>
      <c r="F652">
        <v>376.78</v>
      </c>
      <c r="G652">
        <v>246.56</v>
      </c>
      <c r="H652">
        <v>26.36</v>
      </c>
      <c r="I652" t="s">
        <v>13</v>
      </c>
      <c r="J652" s="1">
        <v>45649</v>
      </c>
      <c r="K652">
        <v>2024</v>
      </c>
    </row>
    <row r="653" spans="1:11" x14ac:dyDescent="0.25">
      <c r="A653">
        <v>724</v>
      </c>
      <c r="B653" t="s">
        <v>14</v>
      </c>
      <c r="C653" t="s">
        <v>12</v>
      </c>
      <c r="D653" s="6">
        <v>64.319999999999993</v>
      </c>
      <c r="E653">
        <v>418.87</v>
      </c>
      <c r="F653">
        <v>755.37</v>
      </c>
      <c r="G653">
        <v>236.6</v>
      </c>
      <c r="H653">
        <v>33.630000000000003</v>
      </c>
      <c r="I653" t="s">
        <v>13</v>
      </c>
      <c r="J653" s="1">
        <v>45650</v>
      </c>
      <c r="K653">
        <v>2024</v>
      </c>
    </row>
    <row r="654" spans="1:11" x14ac:dyDescent="0.25">
      <c r="A654">
        <v>725</v>
      </c>
      <c r="B654" t="s">
        <v>34</v>
      </c>
      <c r="C654" t="s">
        <v>34</v>
      </c>
      <c r="D654" s="6">
        <v>38.11</v>
      </c>
      <c r="E654">
        <v>536.86</v>
      </c>
      <c r="F654">
        <v>525.46</v>
      </c>
      <c r="G654">
        <v>251.63</v>
      </c>
      <c r="H654">
        <v>30.82</v>
      </c>
      <c r="I654" t="s">
        <v>22</v>
      </c>
      <c r="J654" s="1">
        <v>45651</v>
      </c>
      <c r="K654">
        <v>2024</v>
      </c>
    </row>
    <row r="655" spans="1:11" x14ac:dyDescent="0.25">
      <c r="A655">
        <v>726</v>
      </c>
      <c r="B655" t="s">
        <v>14</v>
      </c>
      <c r="C655" t="s">
        <v>19</v>
      </c>
      <c r="D655" s="6">
        <v>47.45</v>
      </c>
      <c r="E655">
        <v>531.57000000000005</v>
      </c>
      <c r="F655">
        <v>525.34</v>
      </c>
      <c r="G655">
        <v>278.2</v>
      </c>
      <c r="H655">
        <v>33.729999999999997</v>
      </c>
      <c r="I655" t="s">
        <v>18</v>
      </c>
      <c r="J655" s="1">
        <v>45652</v>
      </c>
      <c r="K655">
        <v>2024</v>
      </c>
    </row>
    <row r="656" spans="1:11" x14ac:dyDescent="0.25">
      <c r="A656">
        <v>727</v>
      </c>
      <c r="B656" t="s">
        <v>14</v>
      </c>
      <c r="C656" t="s">
        <v>16</v>
      </c>
      <c r="D656" s="6">
        <v>50.33</v>
      </c>
      <c r="E656">
        <v>490.27</v>
      </c>
      <c r="F656">
        <v>408.83</v>
      </c>
      <c r="G656">
        <v>141.30000000000001</v>
      </c>
      <c r="H656">
        <v>30.19</v>
      </c>
      <c r="I656" t="s">
        <v>13</v>
      </c>
      <c r="J656" s="1">
        <v>45653</v>
      </c>
      <c r="K656">
        <v>2024</v>
      </c>
    </row>
    <row r="657" spans="1:11" x14ac:dyDescent="0.25">
      <c r="A657">
        <v>728</v>
      </c>
      <c r="B657" t="s">
        <v>21</v>
      </c>
      <c r="C657" t="s">
        <v>34</v>
      </c>
      <c r="D657" s="6">
        <v>47.33</v>
      </c>
      <c r="E657">
        <v>449.62</v>
      </c>
      <c r="F657">
        <v>517.76</v>
      </c>
      <c r="G657">
        <v>160.57</v>
      </c>
      <c r="H657">
        <v>18.059999999999999</v>
      </c>
      <c r="I657" t="s">
        <v>13</v>
      </c>
      <c r="J657" s="1">
        <v>45654</v>
      </c>
      <c r="K657">
        <v>2024</v>
      </c>
    </row>
    <row r="658" spans="1:11" x14ac:dyDescent="0.25">
      <c r="A658">
        <v>729</v>
      </c>
      <c r="B658" t="s">
        <v>21</v>
      </c>
      <c r="C658" t="s">
        <v>15</v>
      </c>
      <c r="D658" s="6">
        <v>67.930000000000007</v>
      </c>
      <c r="E658">
        <v>621.48</v>
      </c>
      <c r="F658">
        <v>536.77</v>
      </c>
      <c r="G658">
        <v>244.88</v>
      </c>
      <c r="H658">
        <v>35.9</v>
      </c>
      <c r="I658" t="s">
        <v>13</v>
      </c>
      <c r="J658" s="1">
        <v>45655</v>
      </c>
      <c r="K658">
        <v>2024</v>
      </c>
    </row>
    <row r="659" spans="1:11" x14ac:dyDescent="0.25">
      <c r="A659">
        <v>730</v>
      </c>
      <c r="B659" t="s">
        <v>34</v>
      </c>
      <c r="C659" t="s">
        <v>16</v>
      </c>
      <c r="D659" s="6">
        <v>52.24</v>
      </c>
      <c r="E659">
        <v>440.24</v>
      </c>
      <c r="F659">
        <v>592.48</v>
      </c>
      <c r="G659">
        <v>256.51</v>
      </c>
      <c r="H659">
        <v>40.35</v>
      </c>
      <c r="I659" t="s">
        <v>13</v>
      </c>
      <c r="J659" s="1">
        <v>45656</v>
      </c>
      <c r="K659">
        <v>2024</v>
      </c>
    </row>
    <row r="660" spans="1:11" x14ac:dyDescent="0.25">
      <c r="A660">
        <v>731</v>
      </c>
      <c r="B660" t="s">
        <v>21</v>
      </c>
      <c r="C660" t="s">
        <v>34</v>
      </c>
      <c r="D660" s="6">
        <v>41.95</v>
      </c>
      <c r="E660">
        <v>318.8</v>
      </c>
      <c r="F660">
        <v>362.6</v>
      </c>
      <c r="G660">
        <v>166.28</v>
      </c>
      <c r="H660">
        <v>36.42</v>
      </c>
      <c r="I660" t="s">
        <v>34</v>
      </c>
      <c r="J660" s="1">
        <v>45657</v>
      </c>
      <c r="K660">
        <v>2024</v>
      </c>
    </row>
    <row r="661" spans="1:11" x14ac:dyDescent="0.25">
      <c r="A661">
        <v>732</v>
      </c>
      <c r="B661" t="s">
        <v>34</v>
      </c>
      <c r="C661" t="s">
        <v>16</v>
      </c>
      <c r="D661" s="6">
        <v>55.96</v>
      </c>
      <c r="E661">
        <v>564.04999999999995</v>
      </c>
      <c r="F661">
        <v>648.80999999999995</v>
      </c>
      <c r="G661">
        <v>162.81</v>
      </c>
      <c r="H661">
        <v>12.31</v>
      </c>
      <c r="I661" t="s">
        <v>13</v>
      </c>
      <c r="J661" s="1">
        <v>45658</v>
      </c>
      <c r="K661">
        <v>2025</v>
      </c>
    </row>
    <row r="662" spans="1:11" x14ac:dyDescent="0.25">
      <c r="A662">
        <v>733</v>
      </c>
      <c r="B662" t="s">
        <v>21</v>
      </c>
      <c r="C662" t="s">
        <v>19</v>
      </c>
      <c r="D662" s="6">
        <v>263.55</v>
      </c>
      <c r="E662">
        <v>1519.48</v>
      </c>
      <c r="F662">
        <v>523.37</v>
      </c>
      <c r="G662">
        <v>167.39</v>
      </c>
      <c r="H662">
        <v>32.26</v>
      </c>
      <c r="I662" t="s">
        <v>13</v>
      </c>
      <c r="J662" s="1">
        <v>45659</v>
      </c>
      <c r="K662">
        <v>2025</v>
      </c>
    </row>
    <row r="663" spans="1:11" x14ac:dyDescent="0.25">
      <c r="A663">
        <v>735</v>
      </c>
      <c r="B663" t="s">
        <v>17</v>
      </c>
      <c r="C663" t="s">
        <v>19</v>
      </c>
      <c r="D663" s="6">
        <v>68.08</v>
      </c>
      <c r="E663">
        <v>633.49</v>
      </c>
      <c r="F663">
        <v>453.49</v>
      </c>
      <c r="G663">
        <v>136.43</v>
      </c>
      <c r="H663">
        <v>24.58</v>
      </c>
      <c r="I663" t="s">
        <v>13</v>
      </c>
      <c r="J663" s="1">
        <v>45661</v>
      </c>
      <c r="K663">
        <v>2025</v>
      </c>
    </row>
    <row r="664" spans="1:11" x14ac:dyDescent="0.25">
      <c r="A664">
        <v>737</v>
      </c>
      <c r="B664" t="s">
        <v>14</v>
      </c>
      <c r="C664" t="s">
        <v>20</v>
      </c>
      <c r="D664" s="6">
        <v>46.96</v>
      </c>
      <c r="E664">
        <v>607.14</v>
      </c>
      <c r="F664">
        <v>488.73</v>
      </c>
      <c r="G664">
        <v>185.3</v>
      </c>
      <c r="H664">
        <v>29.26</v>
      </c>
      <c r="I664" t="s">
        <v>13</v>
      </c>
      <c r="J664" s="1">
        <v>45663</v>
      </c>
      <c r="K664">
        <v>2025</v>
      </c>
    </row>
    <row r="665" spans="1:11" x14ac:dyDescent="0.25">
      <c r="A665">
        <v>738</v>
      </c>
      <c r="B665" t="s">
        <v>17</v>
      </c>
      <c r="C665" t="s">
        <v>34</v>
      </c>
      <c r="D665" s="6">
        <v>30.45</v>
      </c>
      <c r="E665">
        <v>702</v>
      </c>
      <c r="F665">
        <v>502.48</v>
      </c>
      <c r="G665">
        <v>213.54</v>
      </c>
      <c r="H665">
        <v>32.54</v>
      </c>
      <c r="I665" t="s">
        <v>22</v>
      </c>
      <c r="J665" s="1">
        <v>45664</v>
      </c>
      <c r="K665">
        <v>2025</v>
      </c>
    </row>
    <row r="666" spans="1:11" x14ac:dyDescent="0.25">
      <c r="A666">
        <v>739</v>
      </c>
      <c r="B666" t="s">
        <v>17</v>
      </c>
      <c r="C666" t="s">
        <v>15</v>
      </c>
      <c r="D666" s="6">
        <v>48.35</v>
      </c>
      <c r="E666">
        <v>596.67999999999995</v>
      </c>
      <c r="F666">
        <v>313.75</v>
      </c>
      <c r="G666">
        <v>221.67</v>
      </c>
      <c r="H666">
        <v>30.28</v>
      </c>
      <c r="I666" t="s">
        <v>13</v>
      </c>
      <c r="J666" s="1">
        <v>45665</v>
      </c>
      <c r="K666">
        <v>2025</v>
      </c>
    </row>
    <row r="667" spans="1:11" x14ac:dyDescent="0.25">
      <c r="A667">
        <v>740</v>
      </c>
      <c r="B667" t="s">
        <v>21</v>
      </c>
      <c r="C667" t="s">
        <v>19</v>
      </c>
      <c r="D667" s="6">
        <v>63.06</v>
      </c>
      <c r="E667">
        <v>533.05999999999995</v>
      </c>
      <c r="F667">
        <v>575.19000000000005</v>
      </c>
      <c r="G667">
        <v>174.57</v>
      </c>
      <c r="H667">
        <v>24.4</v>
      </c>
      <c r="I667" t="s">
        <v>18</v>
      </c>
      <c r="J667" s="1">
        <v>45666</v>
      </c>
      <c r="K667">
        <v>2025</v>
      </c>
    </row>
    <row r="668" spans="1:11" x14ac:dyDescent="0.25">
      <c r="A668">
        <v>741</v>
      </c>
      <c r="B668" t="s">
        <v>34</v>
      </c>
      <c r="C668" t="s">
        <v>16</v>
      </c>
      <c r="D668" s="6">
        <v>49.09</v>
      </c>
      <c r="E668">
        <v>663.39</v>
      </c>
      <c r="F668">
        <v>599.58000000000004</v>
      </c>
      <c r="G668">
        <v>175.8</v>
      </c>
      <c r="H668">
        <v>27.12</v>
      </c>
      <c r="I668" t="s">
        <v>13</v>
      </c>
      <c r="J668" s="1">
        <v>45667</v>
      </c>
      <c r="K668">
        <v>2025</v>
      </c>
    </row>
    <row r="669" spans="1:11" x14ac:dyDescent="0.25">
      <c r="A669">
        <v>742</v>
      </c>
      <c r="B669" t="s">
        <v>11</v>
      </c>
      <c r="C669" t="s">
        <v>15</v>
      </c>
      <c r="D669" s="6">
        <v>27.6</v>
      </c>
      <c r="E669">
        <v>675.48</v>
      </c>
      <c r="F669">
        <v>392.44</v>
      </c>
      <c r="G669">
        <v>206.18</v>
      </c>
      <c r="H669">
        <v>26.31</v>
      </c>
      <c r="I669" t="s">
        <v>22</v>
      </c>
      <c r="J669" s="1">
        <v>45668</v>
      </c>
      <c r="K669">
        <v>2025</v>
      </c>
    </row>
    <row r="670" spans="1:11" x14ac:dyDescent="0.25">
      <c r="A670">
        <v>743</v>
      </c>
      <c r="B670" t="s">
        <v>14</v>
      </c>
      <c r="C670" t="s">
        <v>34</v>
      </c>
      <c r="D670" s="6">
        <v>45.02</v>
      </c>
      <c r="E670">
        <v>676.88</v>
      </c>
      <c r="F670">
        <v>357.29</v>
      </c>
      <c r="G670">
        <v>125.2</v>
      </c>
      <c r="H670">
        <v>21.42</v>
      </c>
      <c r="I670" t="s">
        <v>18</v>
      </c>
      <c r="J670" s="1">
        <v>45669</v>
      </c>
      <c r="K670">
        <v>2025</v>
      </c>
    </row>
    <row r="671" spans="1:11" x14ac:dyDescent="0.25">
      <c r="A671">
        <v>744</v>
      </c>
      <c r="B671" t="s">
        <v>21</v>
      </c>
      <c r="C671" t="s">
        <v>15</v>
      </c>
      <c r="D671" s="6">
        <v>59.93</v>
      </c>
      <c r="E671">
        <v>450.79</v>
      </c>
      <c r="F671">
        <v>443.64</v>
      </c>
      <c r="G671">
        <v>247.97</v>
      </c>
      <c r="H671">
        <v>23.14</v>
      </c>
      <c r="I671" t="s">
        <v>13</v>
      </c>
      <c r="J671" s="1">
        <v>45670</v>
      </c>
      <c r="K671">
        <v>2025</v>
      </c>
    </row>
    <row r="672" spans="1:11" x14ac:dyDescent="0.25">
      <c r="A672">
        <v>745</v>
      </c>
      <c r="B672" t="s">
        <v>21</v>
      </c>
      <c r="C672" t="s">
        <v>12</v>
      </c>
      <c r="D672" s="6">
        <v>220.32</v>
      </c>
      <c r="E672">
        <v>364.6</v>
      </c>
      <c r="F672">
        <v>482.87</v>
      </c>
      <c r="G672">
        <v>264.27</v>
      </c>
      <c r="H672">
        <v>28.94</v>
      </c>
      <c r="I672" t="s">
        <v>34</v>
      </c>
      <c r="J672" s="1">
        <v>45671</v>
      </c>
      <c r="K672">
        <v>2025</v>
      </c>
    </row>
    <row r="673" spans="1:11" x14ac:dyDescent="0.25">
      <c r="A673">
        <v>746</v>
      </c>
      <c r="B673" t="s">
        <v>11</v>
      </c>
      <c r="C673" t="s">
        <v>16</v>
      </c>
      <c r="D673" s="6">
        <v>41.6</v>
      </c>
      <c r="E673">
        <v>444.68</v>
      </c>
      <c r="F673">
        <v>448.3</v>
      </c>
      <c r="G673">
        <v>168.72</v>
      </c>
      <c r="H673">
        <v>37.119999999999997</v>
      </c>
      <c r="I673" t="s">
        <v>34</v>
      </c>
      <c r="J673" s="1">
        <v>45672</v>
      </c>
      <c r="K673">
        <v>2025</v>
      </c>
    </row>
    <row r="674" spans="1:11" x14ac:dyDescent="0.25">
      <c r="A674">
        <v>747</v>
      </c>
      <c r="B674" t="s">
        <v>14</v>
      </c>
      <c r="C674" t="s">
        <v>34</v>
      </c>
      <c r="D674" s="6">
        <v>44.35</v>
      </c>
      <c r="E674">
        <v>570.36</v>
      </c>
      <c r="F674">
        <v>472.69</v>
      </c>
      <c r="G674">
        <v>180.08</v>
      </c>
      <c r="H674">
        <v>27.32</v>
      </c>
      <c r="I674" t="s">
        <v>22</v>
      </c>
      <c r="J674" s="1">
        <v>45673</v>
      </c>
      <c r="K674">
        <v>2025</v>
      </c>
    </row>
    <row r="675" spans="1:11" x14ac:dyDescent="0.25">
      <c r="A675">
        <v>748</v>
      </c>
      <c r="B675" t="s">
        <v>14</v>
      </c>
      <c r="C675" t="s">
        <v>34</v>
      </c>
      <c r="D675" s="6">
        <v>45.89</v>
      </c>
      <c r="E675">
        <v>515.91999999999996</v>
      </c>
      <c r="F675">
        <v>506.58</v>
      </c>
      <c r="G675">
        <v>262.17</v>
      </c>
      <c r="H675">
        <v>26.21</v>
      </c>
      <c r="I675" t="s">
        <v>18</v>
      </c>
      <c r="J675" s="1">
        <v>45674</v>
      </c>
      <c r="K675">
        <v>2025</v>
      </c>
    </row>
    <row r="676" spans="1:11" x14ac:dyDescent="0.25">
      <c r="A676">
        <v>749</v>
      </c>
      <c r="B676" t="s">
        <v>21</v>
      </c>
      <c r="C676" t="s">
        <v>20</v>
      </c>
      <c r="D676" s="6">
        <v>43.37</v>
      </c>
      <c r="E676">
        <v>479.35</v>
      </c>
      <c r="F676">
        <v>315.81</v>
      </c>
      <c r="G676">
        <v>193.85</v>
      </c>
      <c r="H676">
        <v>24.09</v>
      </c>
      <c r="I676" t="s">
        <v>13</v>
      </c>
      <c r="J676" s="1">
        <v>45675</v>
      </c>
      <c r="K676">
        <v>2025</v>
      </c>
    </row>
    <row r="677" spans="1:11" x14ac:dyDescent="0.25">
      <c r="A677">
        <v>750</v>
      </c>
      <c r="B677" t="s">
        <v>34</v>
      </c>
      <c r="C677" t="s">
        <v>19</v>
      </c>
      <c r="D677" s="6">
        <v>135.09</v>
      </c>
      <c r="E677">
        <v>556.04999999999995</v>
      </c>
      <c r="F677">
        <v>329.6</v>
      </c>
      <c r="G677">
        <v>229.41</v>
      </c>
      <c r="H677">
        <v>30.15</v>
      </c>
      <c r="I677" t="s">
        <v>18</v>
      </c>
      <c r="J677" s="1">
        <v>45676</v>
      </c>
      <c r="K677">
        <v>2025</v>
      </c>
    </row>
    <row r="678" spans="1:11" x14ac:dyDescent="0.25">
      <c r="A678">
        <v>752</v>
      </c>
      <c r="B678" t="s">
        <v>14</v>
      </c>
      <c r="C678" t="s">
        <v>34</v>
      </c>
      <c r="D678" s="6">
        <v>62.57</v>
      </c>
      <c r="E678">
        <v>514.12</v>
      </c>
      <c r="F678">
        <v>593.11</v>
      </c>
      <c r="G678">
        <v>277.82</v>
      </c>
      <c r="H678">
        <v>40.01</v>
      </c>
      <c r="I678" t="s">
        <v>22</v>
      </c>
      <c r="J678" s="1">
        <v>45678</v>
      </c>
      <c r="K678">
        <v>2025</v>
      </c>
    </row>
    <row r="679" spans="1:11" x14ac:dyDescent="0.25">
      <c r="A679">
        <v>753</v>
      </c>
      <c r="B679" t="s">
        <v>21</v>
      </c>
      <c r="C679" t="s">
        <v>16</v>
      </c>
      <c r="D679" s="6">
        <v>34.82</v>
      </c>
      <c r="E679">
        <v>611.85</v>
      </c>
      <c r="F679">
        <v>481.83</v>
      </c>
      <c r="G679">
        <v>224.5</v>
      </c>
      <c r="H679">
        <v>31.43</v>
      </c>
      <c r="I679" t="s">
        <v>13</v>
      </c>
      <c r="J679" s="1">
        <v>45679</v>
      </c>
      <c r="K679">
        <v>2025</v>
      </c>
    </row>
    <row r="680" spans="1:11" x14ac:dyDescent="0.25">
      <c r="A680">
        <v>754</v>
      </c>
      <c r="B680" t="s">
        <v>14</v>
      </c>
      <c r="C680" t="s">
        <v>15</v>
      </c>
      <c r="D680" s="6">
        <v>62.44</v>
      </c>
      <c r="E680">
        <v>554.92999999999995</v>
      </c>
      <c r="F680">
        <v>605.74</v>
      </c>
      <c r="G680">
        <v>227.38</v>
      </c>
      <c r="H680">
        <v>30.7</v>
      </c>
      <c r="I680" t="s">
        <v>18</v>
      </c>
      <c r="J680" s="1">
        <v>45680</v>
      </c>
      <c r="K680">
        <v>2025</v>
      </c>
    </row>
    <row r="681" spans="1:11" x14ac:dyDescent="0.25">
      <c r="A681">
        <v>755</v>
      </c>
      <c r="B681" t="s">
        <v>21</v>
      </c>
      <c r="C681" t="s">
        <v>15</v>
      </c>
      <c r="D681" s="6">
        <v>48.97</v>
      </c>
      <c r="E681">
        <v>569.17999999999995</v>
      </c>
      <c r="F681">
        <v>343.47</v>
      </c>
      <c r="G681">
        <v>228.32</v>
      </c>
      <c r="H681">
        <v>27.28</v>
      </c>
      <c r="I681" t="s">
        <v>34</v>
      </c>
      <c r="J681" s="1">
        <v>45681</v>
      </c>
      <c r="K681">
        <v>2025</v>
      </c>
    </row>
    <row r="682" spans="1:11" x14ac:dyDescent="0.25">
      <c r="A682">
        <v>756</v>
      </c>
      <c r="B682" t="s">
        <v>17</v>
      </c>
      <c r="C682" t="s">
        <v>16</v>
      </c>
      <c r="D682" s="6">
        <v>62.25</v>
      </c>
      <c r="E682">
        <v>659.74</v>
      </c>
      <c r="F682">
        <v>482.93</v>
      </c>
      <c r="G682">
        <v>172.24</v>
      </c>
      <c r="H682">
        <v>28.12</v>
      </c>
      <c r="I682" t="s">
        <v>13</v>
      </c>
      <c r="J682" s="1">
        <v>45682</v>
      </c>
      <c r="K682">
        <v>2025</v>
      </c>
    </row>
    <row r="683" spans="1:11" x14ac:dyDescent="0.25">
      <c r="A683">
        <v>758</v>
      </c>
      <c r="B683" t="s">
        <v>21</v>
      </c>
      <c r="C683" t="s">
        <v>15</v>
      </c>
      <c r="D683" s="6">
        <v>51.36</v>
      </c>
      <c r="E683">
        <v>434.69</v>
      </c>
      <c r="F683">
        <v>412.59</v>
      </c>
      <c r="G683">
        <v>238.46</v>
      </c>
      <c r="H683">
        <v>28.43</v>
      </c>
      <c r="I683" t="s">
        <v>13</v>
      </c>
      <c r="J683" s="1">
        <v>45684</v>
      </c>
      <c r="K683">
        <v>2025</v>
      </c>
    </row>
    <row r="684" spans="1:11" x14ac:dyDescent="0.25">
      <c r="A684">
        <v>759</v>
      </c>
      <c r="B684" t="s">
        <v>14</v>
      </c>
      <c r="C684" t="s">
        <v>15</v>
      </c>
      <c r="D684" s="6">
        <v>53.72</v>
      </c>
      <c r="E684">
        <v>618.95000000000005</v>
      </c>
      <c r="F684">
        <v>293.58999999999997</v>
      </c>
      <c r="G684">
        <v>206.32</v>
      </c>
      <c r="H684">
        <v>29.19</v>
      </c>
      <c r="I684" t="s">
        <v>18</v>
      </c>
      <c r="J684" s="1">
        <v>45685</v>
      </c>
      <c r="K684">
        <v>2025</v>
      </c>
    </row>
    <row r="685" spans="1:11" x14ac:dyDescent="0.25">
      <c r="A685">
        <v>760</v>
      </c>
      <c r="B685" t="s">
        <v>14</v>
      </c>
      <c r="C685" t="s">
        <v>15</v>
      </c>
      <c r="D685" s="6">
        <v>42.1</v>
      </c>
      <c r="E685">
        <v>617.11</v>
      </c>
      <c r="F685">
        <v>689.5</v>
      </c>
      <c r="G685">
        <v>141.12</v>
      </c>
      <c r="H685">
        <v>29.87</v>
      </c>
      <c r="I685" t="s">
        <v>13</v>
      </c>
      <c r="J685" s="1">
        <v>45686</v>
      </c>
      <c r="K685">
        <v>2025</v>
      </c>
    </row>
    <row r="686" spans="1:11" x14ac:dyDescent="0.25">
      <c r="A686">
        <v>762</v>
      </c>
      <c r="B686" t="s">
        <v>21</v>
      </c>
      <c r="C686" t="s">
        <v>19</v>
      </c>
      <c r="D686" s="6">
        <v>38.79</v>
      </c>
      <c r="E686">
        <v>483.96</v>
      </c>
      <c r="F686">
        <v>434.17</v>
      </c>
      <c r="G686">
        <v>248.9</v>
      </c>
      <c r="H686">
        <v>29.63</v>
      </c>
      <c r="I686" t="s">
        <v>34</v>
      </c>
      <c r="J686" s="1">
        <v>45688</v>
      </c>
      <c r="K686">
        <v>2025</v>
      </c>
    </row>
    <row r="687" spans="1:11" x14ac:dyDescent="0.25">
      <c r="A687">
        <v>764</v>
      </c>
      <c r="B687" t="s">
        <v>14</v>
      </c>
      <c r="C687" t="s">
        <v>20</v>
      </c>
      <c r="D687" s="6">
        <v>55.24</v>
      </c>
      <c r="E687">
        <v>372.32</v>
      </c>
      <c r="F687">
        <v>421.83</v>
      </c>
      <c r="G687">
        <v>186.32</v>
      </c>
      <c r="H687">
        <v>32.74</v>
      </c>
      <c r="I687" t="s">
        <v>13</v>
      </c>
      <c r="J687" s="1">
        <v>45690</v>
      </c>
      <c r="K687">
        <v>2025</v>
      </c>
    </row>
    <row r="688" spans="1:11" x14ac:dyDescent="0.25">
      <c r="A688">
        <v>765</v>
      </c>
      <c r="B688" t="s">
        <v>14</v>
      </c>
      <c r="C688" t="s">
        <v>16</v>
      </c>
      <c r="D688" s="6">
        <v>44.91</v>
      </c>
      <c r="E688">
        <v>611.29</v>
      </c>
      <c r="F688">
        <v>360.55</v>
      </c>
      <c r="G688">
        <v>209.93</v>
      </c>
      <c r="H688">
        <v>41.76</v>
      </c>
      <c r="I688" t="s">
        <v>34</v>
      </c>
      <c r="J688" s="1">
        <v>45691</v>
      </c>
      <c r="K688">
        <v>2025</v>
      </c>
    </row>
    <row r="689" spans="1:11" x14ac:dyDescent="0.25">
      <c r="A689">
        <v>766</v>
      </c>
      <c r="B689" t="s">
        <v>21</v>
      </c>
      <c r="C689" t="s">
        <v>16</v>
      </c>
      <c r="D689" s="6">
        <v>57.78</v>
      </c>
      <c r="E689">
        <v>607.77</v>
      </c>
      <c r="F689">
        <v>699.27</v>
      </c>
      <c r="G689">
        <v>225.88</v>
      </c>
      <c r="H689">
        <v>27.24</v>
      </c>
      <c r="I689" t="s">
        <v>22</v>
      </c>
      <c r="J689" s="1">
        <v>45692</v>
      </c>
      <c r="K689">
        <v>2025</v>
      </c>
    </row>
    <row r="690" spans="1:11" x14ac:dyDescent="0.25">
      <c r="A690">
        <v>767</v>
      </c>
      <c r="B690" t="s">
        <v>11</v>
      </c>
      <c r="C690" t="s">
        <v>34</v>
      </c>
      <c r="D690" s="6">
        <v>63.76</v>
      </c>
      <c r="E690">
        <v>368.83</v>
      </c>
      <c r="F690">
        <v>281.36</v>
      </c>
      <c r="G690">
        <v>98.35</v>
      </c>
      <c r="H690">
        <v>31.87</v>
      </c>
      <c r="I690" t="s">
        <v>13</v>
      </c>
      <c r="J690" s="1">
        <v>45693</v>
      </c>
      <c r="K690">
        <v>2025</v>
      </c>
    </row>
    <row r="691" spans="1:11" x14ac:dyDescent="0.25">
      <c r="A691">
        <v>768</v>
      </c>
      <c r="B691" t="s">
        <v>14</v>
      </c>
      <c r="C691" t="s">
        <v>12</v>
      </c>
      <c r="D691" s="6">
        <v>60.13</v>
      </c>
      <c r="E691">
        <v>586.76</v>
      </c>
      <c r="F691">
        <v>445.74</v>
      </c>
      <c r="G691">
        <v>305.62</v>
      </c>
      <c r="H691">
        <v>34.26</v>
      </c>
      <c r="I691" t="s">
        <v>34</v>
      </c>
      <c r="J691" s="1">
        <v>45694</v>
      </c>
      <c r="K691">
        <v>2025</v>
      </c>
    </row>
    <row r="692" spans="1:11" x14ac:dyDescent="0.25">
      <c r="A692">
        <v>769</v>
      </c>
      <c r="B692" t="s">
        <v>34</v>
      </c>
      <c r="C692" t="s">
        <v>19</v>
      </c>
      <c r="D692" s="6">
        <v>30.64</v>
      </c>
      <c r="E692">
        <v>540.41</v>
      </c>
      <c r="F692">
        <v>490.12</v>
      </c>
      <c r="G692">
        <v>160.51</v>
      </c>
      <c r="H692">
        <v>36.4</v>
      </c>
      <c r="I692" t="s">
        <v>18</v>
      </c>
      <c r="J692" s="1">
        <v>45695</v>
      </c>
      <c r="K692">
        <v>2025</v>
      </c>
    </row>
    <row r="693" spans="1:11" x14ac:dyDescent="0.25">
      <c r="A693">
        <v>770</v>
      </c>
      <c r="B693" t="s">
        <v>34</v>
      </c>
      <c r="C693" t="s">
        <v>34</v>
      </c>
      <c r="D693" s="6">
        <v>51.26</v>
      </c>
      <c r="E693">
        <v>397.8</v>
      </c>
      <c r="F693">
        <v>678.15</v>
      </c>
      <c r="G693">
        <v>199.9</v>
      </c>
      <c r="H693">
        <v>28.68</v>
      </c>
      <c r="I693" t="s">
        <v>34</v>
      </c>
      <c r="J693" s="1">
        <v>45696</v>
      </c>
      <c r="K693">
        <v>2025</v>
      </c>
    </row>
    <row r="694" spans="1:11" x14ac:dyDescent="0.25">
      <c r="A694">
        <v>771</v>
      </c>
      <c r="B694" t="s">
        <v>14</v>
      </c>
      <c r="C694" t="s">
        <v>34</v>
      </c>
      <c r="D694" s="6">
        <v>60.29</v>
      </c>
      <c r="E694">
        <v>379.4</v>
      </c>
      <c r="F694">
        <v>587.59</v>
      </c>
      <c r="G694">
        <v>201.74</v>
      </c>
      <c r="H694">
        <v>20.98</v>
      </c>
      <c r="I694" t="s">
        <v>22</v>
      </c>
      <c r="J694" s="1">
        <v>45697</v>
      </c>
      <c r="K694">
        <v>2025</v>
      </c>
    </row>
    <row r="695" spans="1:11" x14ac:dyDescent="0.25">
      <c r="A695">
        <v>772</v>
      </c>
      <c r="B695" t="s">
        <v>14</v>
      </c>
      <c r="C695" t="s">
        <v>12</v>
      </c>
      <c r="D695" s="6">
        <v>36.83</v>
      </c>
      <c r="E695">
        <v>537.35</v>
      </c>
      <c r="F695">
        <v>279.33</v>
      </c>
      <c r="G695">
        <v>299.83999999999997</v>
      </c>
      <c r="H695">
        <v>31.34</v>
      </c>
      <c r="I695" t="s">
        <v>13</v>
      </c>
      <c r="J695" s="1">
        <v>45698</v>
      </c>
      <c r="K695">
        <v>2025</v>
      </c>
    </row>
    <row r="696" spans="1:11" x14ac:dyDescent="0.25">
      <c r="A696">
        <v>773</v>
      </c>
      <c r="B696" t="s">
        <v>11</v>
      </c>
      <c r="C696" t="s">
        <v>34</v>
      </c>
      <c r="D696" s="6">
        <v>57.24</v>
      </c>
      <c r="E696">
        <v>460.23</v>
      </c>
      <c r="F696">
        <v>479.67</v>
      </c>
      <c r="G696">
        <v>195.59</v>
      </c>
      <c r="H696">
        <v>30.64</v>
      </c>
      <c r="I696" t="s">
        <v>13</v>
      </c>
      <c r="J696" s="1">
        <v>45699</v>
      </c>
      <c r="K696">
        <v>2025</v>
      </c>
    </row>
    <row r="697" spans="1:11" x14ac:dyDescent="0.25">
      <c r="A697">
        <v>774</v>
      </c>
      <c r="B697" t="s">
        <v>11</v>
      </c>
      <c r="C697" t="s">
        <v>16</v>
      </c>
      <c r="D697" s="6">
        <v>56.67</v>
      </c>
      <c r="E697">
        <v>681.99</v>
      </c>
      <c r="F697">
        <v>482.53</v>
      </c>
      <c r="G697">
        <v>279.43</v>
      </c>
      <c r="H697">
        <v>28.27</v>
      </c>
      <c r="I697" t="s">
        <v>34</v>
      </c>
      <c r="J697" s="1">
        <v>45700</v>
      </c>
      <c r="K697">
        <v>2025</v>
      </c>
    </row>
    <row r="698" spans="1:11" x14ac:dyDescent="0.25">
      <c r="A698">
        <v>775</v>
      </c>
      <c r="B698" t="s">
        <v>21</v>
      </c>
      <c r="C698" t="s">
        <v>20</v>
      </c>
      <c r="D698" s="6">
        <v>37.880000000000003</v>
      </c>
      <c r="E698">
        <v>595.26</v>
      </c>
      <c r="F698">
        <v>452.6</v>
      </c>
      <c r="G698">
        <v>220.34</v>
      </c>
      <c r="H698">
        <v>29.33</v>
      </c>
      <c r="I698" t="s">
        <v>13</v>
      </c>
      <c r="J698" s="1">
        <v>45701</v>
      </c>
      <c r="K698">
        <v>2025</v>
      </c>
    </row>
    <row r="699" spans="1:11" x14ac:dyDescent="0.25">
      <c r="A699">
        <v>776</v>
      </c>
      <c r="B699" t="s">
        <v>11</v>
      </c>
      <c r="C699" t="s">
        <v>15</v>
      </c>
      <c r="D699" s="6">
        <v>189.77</v>
      </c>
      <c r="E699">
        <v>547.37</v>
      </c>
      <c r="F699">
        <v>554.38</v>
      </c>
      <c r="G699">
        <v>151.91</v>
      </c>
      <c r="H699">
        <v>30.72</v>
      </c>
      <c r="I699" t="s">
        <v>34</v>
      </c>
      <c r="J699" s="1">
        <v>45702</v>
      </c>
      <c r="K699">
        <v>2025</v>
      </c>
    </row>
    <row r="700" spans="1:11" x14ac:dyDescent="0.25">
      <c r="A700">
        <v>777</v>
      </c>
      <c r="B700" t="s">
        <v>34</v>
      </c>
      <c r="C700" t="s">
        <v>19</v>
      </c>
      <c r="D700" s="6">
        <v>52.73</v>
      </c>
      <c r="E700">
        <v>552.30999999999995</v>
      </c>
      <c r="F700">
        <v>310.91000000000003</v>
      </c>
      <c r="G700">
        <v>206.74</v>
      </c>
      <c r="H700">
        <v>31.81</v>
      </c>
      <c r="I700" t="s">
        <v>22</v>
      </c>
      <c r="J700" s="1">
        <v>45703</v>
      </c>
      <c r="K700">
        <v>2025</v>
      </c>
    </row>
    <row r="701" spans="1:11" x14ac:dyDescent="0.25">
      <c r="A701">
        <v>778</v>
      </c>
      <c r="B701" t="s">
        <v>17</v>
      </c>
      <c r="C701" t="s">
        <v>19</v>
      </c>
      <c r="D701" s="6">
        <v>56.5</v>
      </c>
      <c r="E701">
        <v>633.09</v>
      </c>
      <c r="F701">
        <v>430.96</v>
      </c>
      <c r="G701">
        <v>194.07</v>
      </c>
      <c r="H701">
        <v>31.6</v>
      </c>
      <c r="I701" t="s">
        <v>13</v>
      </c>
      <c r="J701" s="1">
        <v>45704</v>
      </c>
      <c r="K701">
        <v>2025</v>
      </c>
    </row>
    <row r="702" spans="1:11" x14ac:dyDescent="0.25">
      <c r="A702">
        <v>780</v>
      </c>
      <c r="B702" t="s">
        <v>11</v>
      </c>
      <c r="C702" t="s">
        <v>19</v>
      </c>
      <c r="D702" s="6">
        <v>51.5</v>
      </c>
      <c r="E702">
        <v>549.98</v>
      </c>
      <c r="F702">
        <v>561.54999999999995</v>
      </c>
      <c r="G702">
        <v>217.89</v>
      </c>
      <c r="H702">
        <v>31.92</v>
      </c>
      <c r="I702" t="s">
        <v>34</v>
      </c>
      <c r="J702" s="1">
        <v>45706</v>
      </c>
      <c r="K702">
        <v>2025</v>
      </c>
    </row>
    <row r="703" spans="1:11" x14ac:dyDescent="0.25">
      <c r="A703">
        <v>781</v>
      </c>
      <c r="B703" t="s">
        <v>21</v>
      </c>
      <c r="C703" t="s">
        <v>16</v>
      </c>
      <c r="D703" s="6">
        <v>32.950000000000003</v>
      </c>
      <c r="E703">
        <v>401.97</v>
      </c>
      <c r="F703">
        <v>497.93</v>
      </c>
      <c r="G703">
        <v>201.11</v>
      </c>
      <c r="H703">
        <v>28.57</v>
      </c>
      <c r="I703" t="s">
        <v>13</v>
      </c>
      <c r="J703" s="1">
        <v>45707</v>
      </c>
      <c r="K703">
        <v>2025</v>
      </c>
    </row>
    <row r="704" spans="1:11" x14ac:dyDescent="0.25">
      <c r="A704">
        <v>782</v>
      </c>
      <c r="B704" t="s">
        <v>34</v>
      </c>
      <c r="C704" t="s">
        <v>34</v>
      </c>
      <c r="D704" s="6">
        <v>27.23</v>
      </c>
      <c r="E704">
        <v>806.19</v>
      </c>
      <c r="F704">
        <v>445.39</v>
      </c>
      <c r="G704">
        <v>227.82</v>
      </c>
      <c r="H704">
        <v>33.21</v>
      </c>
      <c r="I704" t="s">
        <v>22</v>
      </c>
      <c r="J704" s="1">
        <v>45708</v>
      </c>
      <c r="K704">
        <v>2025</v>
      </c>
    </row>
    <row r="705" spans="1:11" x14ac:dyDescent="0.25">
      <c r="A705">
        <v>783</v>
      </c>
      <c r="B705" t="s">
        <v>17</v>
      </c>
      <c r="C705" t="s">
        <v>16</v>
      </c>
      <c r="D705" s="6">
        <v>51.41</v>
      </c>
      <c r="E705">
        <v>389.68</v>
      </c>
      <c r="F705">
        <v>465.61</v>
      </c>
      <c r="G705">
        <v>209.67</v>
      </c>
      <c r="H705">
        <v>26.86</v>
      </c>
      <c r="I705" t="s">
        <v>22</v>
      </c>
      <c r="J705" s="1">
        <v>45709</v>
      </c>
      <c r="K705">
        <v>2025</v>
      </c>
    </row>
    <row r="706" spans="1:11" x14ac:dyDescent="0.25">
      <c r="A706">
        <v>784</v>
      </c>
      <c r="B706" t="s">
        <v>21</v>
      </c>
      <c r="C706" t="s">
        <v>12</v>
      </c>
      <c r="D706" s="6">
        <v>61.01</v>
      </c>
      <c r="E706">
        <v>468.75</v>
      </c>
      <c r="F706">
        <v>568.85</v>
      </c>
      <c r="G706">
        <v>167.44</v>
      </c>
      <c r="H706">
        <v>30.37</v>
      </c>
      <c r="I706" t="s">
        <v>18</v>
      </c>
      <c r="J706" s="1">
        <v>45710</v>
      </c>
      <c r="K706">
        <v>2025</v>
      </c>
    </row>
    <row r="707" spans="1:11" x14ac:dyDescent="0.25">
      <c r="A707">
        <v>785</v>
      </c>
      <c r="B707" t="s">
        <v>21</v>
      </c>
      <c r="C707" t="s">
        <v>16</v>
      </c>
      <c r="D707" s="6">
        <v>52.53</v>
      </c>
      <c r="E707">
        <v>334.53</v>
      </c>
      <c r="F707">
        <v>484.07</v>
      </c>
      <c r="G707">
        <v>238.42</v>
      </c>
      <c r="H707">
        <v>21.88</v>
      </c>
      <c r="I707" t="s">
        <v>22</v>
      </c>
      <c r="J707" s="1">
        <v>45711</v>
      </c>
      <c r="K707">
        <v>2025</v>
      </c>
    </row>
    <row r="708" spans="1:11" x14ac:dyDescent="0.25">
      <c r="A708">
        <v>786</v>
      </c>
      <c r="B708" t="s">
        <v>17</v>
      </c>
      <c r="C708" t="s">
        <v>34</v>
      </c>
      <c r="D708" s="6">
        <v>49.37</v>
      </c>
      <c r="E708">
        <v>553.88</v>
      </c>
      <c r="F708">
        <v>354.98</v>
      </c>
      <c r="G708">
        <v>168.78</v>
      </c>
      <c r="H708">
        <v>28.15</v>
      </c>
      <c r="I708" t="s">
        <v>22</v>
      </c>
      <c r="J708" s="1">
        <v>45712</v>
      </c>
      <c r="K708">
        <v>2025</v>
      </c>
    </row>
    <row r="709" spans="1:11" x14ac:dyDescent="0.25">
      <c r="A709">
        <v>787</v>
      </c>
      <c r="B709" t="s">
        <v>34</v>
      </c>
      <c r="C709" t="s">
        <v>20</v>
      </c>
      <c r="D709" s="6">
        <v>48.12</v>
      </c>
      <c r="E709">
        <v>515.11</v>
      </c>
      <c r="F709">
        <v>331.98</v>
      </c>
      <c r="G709">
        <v>45.02</v>
      </c>
      <c r="H709">
        <v>32.840000000000003</v>
      </c>
      <c r="I709" t="s">
        <v>13</v>
      </c>
      <c r="J709" s="1">
        <v>45713</v>
      </c>
      <c r="K709">
        <v>2025</v>
      </c>
    </row>
    <row r="710" spans="1:11" x14ac:dyDescent="0.25">
      <c r="A710">
        <v>790</v>
      </c>
      <c r="B710" t="s">
        <v>14</v>
      </c>
      <c r="C710" t="s">
        <v>15</v>
      </c>
      <c r="D710" s="6">
        <v>54.22</v>
      </c>
      <c r="E710">
        <v>611.29</v>
      </c>
      <c r="F710">
        <v>576.9</v>
      </c>
      <c r="G710">
        <v>219.11</v>
      </c>
      <c r="H710">
        <v>17.97</v>
      </c>
      <c r="I710" t="s">
        <v>22</v>
      </c>
      <c r="J710" s="1">
        <v>45716</v>
      </c>
      <c r="K710">
        <v>2025</v>
      </c>
    </row>
    <row r="711" spans="1:11" x14ac:dyDescent="0.25">
      <c r="A711">
        <v>791</v>
      </c>
      <c r="B711" t="s">
        <v>14</v>
      </c>
      <c r="C711" t="s">
        <v>20</v>
      </c>
      <c r="D711" s="6">
        <v>45.65</v>
      </c>
      <c r="E711">
        <v>419.26</v>
      </c>
      <c r="F711">
        <v>467.22</v>
      </c>
      <c r="G711">
        <v>299.94</v>
      </c>
      <c r="H711">
        <v>23.16</v>
      </c>
      <c r="I711" t="s">
        <v>22</v>
      </c>
      <c r="J711" s="1">
        <v>45717</v>
      </c>
      <c r="K711">
        <v>2025</v>
      </c>
    </row>
    <row r="712" spans="1:11" x14ac:dyDescent="0.25">
      <c r="A712">
        <v>792</v>
      </c>
      <c r="B712" t="s">
        <v>21</v>
      </c>
      <c r="C712" t="s">
        <v>15</v>
      </c>
      <c r="D712" s="6">
        <v>57.51</v>
      </c>
      <c r="E712">
        <v>485.1</v>
      </c>
      <c r="F712">
        <v>425.54</v>
      </c>
      <c r="G712">
        <v>301.39</v>
      </c>
      <c r="H712">
        <v>24.47</v>
      </c>
      <c r="I712" t="s">
        <v>13</v>
      </c>
      <c r="J712" s="1">
        <v>45718</v>
      </c>
      <c r="K712">
        <v>2025</v>
      </c>
    </row>
    <row r="713" spans="1:11" x14ac:dyDescent="0.25">
      <c r="A713">
        <v>793</v>
      </c>
      <c r="B713" t="s">
        <v>11</v>
      </c>
      <c r="C713" t="s">
        <v>15</v>
      </c>
      <c r="D713" s="6">
        <v>51.96</v>
      </c>
      <c r="E713">
        <v>593.16</v>
      </c>
      <c r="F713">
        <v>411.13</v>
      </c>
      <c r="G713">
        <v>191.74</v>
      </c>
      <c r="H713">
        <v>30.51</v>
      </c>
      <c r="I713" t="s">
        <v>22</v>
      </c>
      <c r="J713" s="1">
        <v>45719</v>
      </c>
      <c r="K713">
        <v>2025</v>
      </c>
    </row>
    <row r="714" spans="1:11" x14ac:dyDescent="0.25">
      <c r="A714">
        <v>794</v>
      </c>
      <c r="B714" t="s">
        <v>21</v>
      </c>
      <c r="C714" t="s">
        <v>20</v>
      </c>
      <c r="D714" s="6">
        <v>53.17</v>
      </c>
      <c r="E714">
        <v>526.13</v>
      </c>
      <c r="F714">
        <v>611.19000000000005</v>
      </c>
      <c r="G714">
        <v>158.66999999999999</v>
      </c>
      <c r="H714">
        <v>31.67</v>
      </c>
      <c r="I714" t="s">
        <v>13</v>
      </c>
      <c r="J714" s="1">
        <v>45720</v>
      </c>
      <c r="K714">
        <v>2025</v>
      </c>
    </row>
    <row r="715" spans="1:11" x14ac:dyDescent="0.25">
      <c r="A715">
        <v>796</v>
      </c>
      <c r="B715" t="s">
        <v>11</v>
      </c>
      <c r="C715" t="s">
        <v>34</v>
      </c>
      <c r="D715" s="6">
        <v>44.73</v>
      </c>
      <c r="E715">
        <v>579.91999999999996</v>
      </c>
      <c r="F715">
        <v>407.35</v>
      </c>
      <c r="G715">
        <v>181.49</v>
      </c>
      <c r="H715">
        <v>28.09</v>
      </c>
      <c r="I715" t="s">
        <v>13</v>
      </c>
      <c r="J715" s="1">
        <v>45722</v>
      </c>
      <c r="K715">
        <v>2025</v>
      </c>
    </row>
    <row r="716" spans="1:11" x14ac:dyDescent="0.25">
      <c r="A716">
        <v>797</v>
      </c>
      <c r="B716" t="s">
        <v>11</v>
      </c>
      <c r="C716" t="s">
        <v>16</v>
      </c>
      <c r="D716" s="6">
        <v>56.59</v>
      </c>
      <c r="E716">
        <v>542.88</v>
      </c>
      <c r="F716">
        <v>616.61</v>
      </c>
      <c r="G716">
        <v>219.59</v>
      </c>
      <c r="H716">
        <v>28.1</v>
      </c>
      <c r="I716" t="s">
        <v>22</v>
      </c>
      <c r="J716" s="1">
        <v>45723</v>
      </c>
      <c r="K716">
        <v>2025</v>
      </c>
    </row>
    <row r="717" spans="1:11" x14ac:dyDescent="0.25">
      <c r="A717">
        <v>798</v>
      </c>
      <c r="B717" t="s">
        <v>14</v>
      </c>
      <c r="C717" t="s">
        <v>16</v>
      </c>
      <c r="D717" s="6">
        <v>46.14</v>
      </c>
      <c r="E717">
        <v>465.89</v>
      </c>
      <c r="F717">
        <v>483.36</v>
      </c>
      <c r="G717">
        <v>166.96</v>
      </c>
      <c r="H717">
        <v>33.58</v>
      </c>
      <c r="I717" t="s">
        <v>22</v>
      </c>
      <c r="J717" s="1">
        <v>45724</v>
      </c>
      <c r="K717">
        <v>2025</v>
      </c>
    </row>
    <row r="718" spans="1:11" x14ac:dyDescent="0.25">
      <c r="A718">
        <v>799</v>
      </c>
      <c r="B718" t="s">
        <v>34</v>
      </c>
      <c r="C718" t="s">
        <v>34</v>
      </c>
      <c r="D718" s="6">
        <v>53.4</v>
      </c>
      <c r="E718">
        <v>483.35</v>
      </c>
      <c r="F718">
        <v>454.51</v>
      </c>
      <c r="G718">
        <v>212.53</v>
      </c>
      <c r="H718">
        <v>31.06</v>
      </c>
      <c r="I718" t="s">
        <v>34</v>
      </c>
      <c r="J718" s="1">
        <v>45725</v>
      </c>
      <c r="K718">
        <v>2025</v>
      </c>
    </row>
    <row r="719" spans="1:11" x14ac:dyDescent="0.25">
      <c r="A719">
        <v>800</v>
      </c>
      <c r="B719" t="s">
        <v>14</v>
      </c>
      <c r="C719" t="s">
        <v>15</v>
      </c>
      <c r="D719" s="6">
        <v>43.54</v>
      </c>
      <c r="E719">
        <v>521.19000000000005</v>
      </c>
      <c r="F719">
        <v>660.51</v>
      </c>
      <c r="G719">
        <v>159.4</v>
      </c>
      <c r="H719">
        <v>28.33</v>
      </c>
      <c r="I719" t="s">
        <v>22</v>
      </c>
      <c r="J719" s="1">
        <v>45726</v>
      </c>
      <c r="K719">
        <v>2025</v>
      </c>
    </row>
    <row r="720" spans="1:11" x14ac:dyDescent="0.25">
      <c r="A720">
        <v>801</v>
      </c>
      <c r="B720" t="s">
        <v>34</v>
      </c>
      <c r="C720" t="s">
        <v>34</v>
      </c>
      <c r="D720" s="6">
        <v>40.89</v>
      </c>
      <c r="E720">
        <v>410.44</v>
      </c>
      <c r="F720">
        <v>478.78</v>
      </c>
      <c r="G720">
        <v>259.20999999999998</v>
      </c>
      <c r="H720">
        <v>36.47</v>
      </c>
      <c r="I720" t="s">
        <v>13</v>
      </c>
      <c r="J720" s="1">
        <v>45727</v>
      </c>
      <c r="K720">
        <v>2025</v>
      </c>
    </row>
    <row r="721" spans="1:11" x14ac:dyDescent="0.25">
      <c r="A721">
        <v>802</v>
      </c>
      <c r="B721" t="s">
        <v>14</v>
      </c>
      <c r="C721" t="s">
        <v>12</v>
      </c>
      <c r="D721" s="6">
        <v>50.92</v>
      </c>
      <c r="E721">
        <v>599.6</v>
      </c>
      <c r="F721">
        <v>515.55999999999995</v>
      </c>
      <c r="G721">
        <v>170.5</v>
      </c>
      <c r="H721">
        <v>39.75</v>
      </c>
      <c r="I721" t="s">
        <v>18</v>
      </c>
      <c r="J721" s="1">
        <v>45728</v>
      </c>
      <c r="K721">
        <v>2025</v>
      </c>
    </row>
    <row r="722" spans="1:11" x14ac:dyDescent="0.25">
      <c r="A722">
        <v>803</v>
      </c>
      <c r="B722" t="s">
        <v>17</v>
      </c>
      <c r="C722" t="s">
        <v>19</v>
      </c>
      <c r="D722" s="6">
        <v>31.15</v>
      </c>
      <c r="E722">
        <v>528.87</v>
      </c>
      <c r="F722">
        <v>509.79</v>
      </c>
      <c r="G722">
        <v>233.06</v>
      </c>
      <c r="H722">
        <v>23.77</v>
      </c>
      <c r="I722" t="s">
        <v>18</v>
      </c>
      <c r="J722" s="1">
        <v>45729</v>
      </c>
      <c r="K722">
        <v>2025</v>
      </c>
    </row>
    <row r="723" spans="1:11" x14ac:dyDescent="0.25">
      <c r="A723">
        <v>804</v>
      </c>
      <c r="B723" t="s">
        <v>14</v>
      </c>
      <c r="C723" t="s">
        <v>20</v>
      </c>
      <c r="D723" s="6">
        <v>47.04</v>
      </c>
      <c r="E723">
        <v>507.48</v>
      </c>
      <c r="F723">
        <v>284.93</v>
      </c>
      <c r="G723">
        <v>136.76</v>
      </c>
      <c r="H723">
        <v>32.61</v>
      </c>
      <c r="I723" t="s">
        <v>18</v>
      </c>
      <c r="J723" s="1">
        <v>45730</v>
      </c>
      <c r="K723">
        <v>2025</v>
      </c>
    </row>
    <row r="724" spans="1:11" x14ac:dyDescent="0.25">
      <c r="A724">
        <v>805</v>
      </c>
      <c r="B724" t="s">
        <v>11</v>
      </c>
      <c r="C724" t="s">
        <v>15</v>
      </c>
      <c r="D724" s="6">
        <v>33.94</v>
      </c>
      <c r="E724">
        <v>619.25</v>
      </c>
      <c r="F724">
        <v>514.61</v>
      </c>
      <c r="G724">
        <v>239.06</v>
      </c>
      <c r="H724">
        <v>45.45</v>
      </c>
      <c r="I724" t="s">
        <v>18</v>
      </c>
      <c r="J724" s="1">
        <v>45731</v>
      </c>
      <c r="K724">
        <v>2025</v>
      </c>
    </row>
    <row r="725" spans="1:11" x14ac:dyDescent="0.25">
      <c r="A725">
        <v>806</v>
      </c>
      <c r="B725" t="s">
        <v>21</v>
      </c>
      <c r="C725" t="s">
        <v>16</v>
      </c>
      <c r="D725" s="6">
        <v>57.79</v>
      </c>
      <c r="E725">
        <v>487.99</v>
      </c>
      <c r="F725">
        <v>412.48</v>
      </c>
      <c r="G725">
        <v>151.68</v>
      </c>
      <c r="H725">
        <v>31.4</v>
      </c>
      <c r="I725" t="s">
        <v>22</v>
      </c>
      <c r="J725" s="1">
        <v>45732</v>
      </c>
      <c r="K725">
        <v>2025</v>
      </c>
    </row>
    <row r="726" spans="1:11" x14ac:dyDescent="0.25">
      <c r="A726">
        <v>807</v>
      </c>
      <c r="B726" t="s">
        <v>14</v>
      </c>
      <c r="C726" t="s">
        <v>12</v>
      </c>
      <c r="D726" s="6">
        <v>60.5</v>
      </c>
      <c r="E726">
        <v>481.76</v>
      </c>
      <c r="F726">
        <v>309.45999999999998</v>
      </c>
      <c r="G726">
        <v>213.06</v>
      </c>
      <c r="H726">
        <v>30.58</v>
      </c>
      <c r="I726" t="s">
        <v>34</v>
      </c>
      <c r="J726" s="1">
        <v>45733</v>
      </c>
      <c r="K726">
        <v>2025</v>
      </c>
    </row>
    <row r="727" spans="1:11" x14ac:dyDescent="0.25">
      <c r="A727">
        <v>808</v>
      </c>
      <c r="B727" t="s">
        <v>34</v>
      </c>
      <c r="C727" t="s">
        <v>20</v>
      </c>
      <c r="D727" s="6">
        <v>41.36</v>
      </c>
      <c r="E727">
        <v>451.54</v>
      </c>
      <c r="F727">
        <v>417.94</v>
      </c>
      <c r="G727">
        <v>251.16</v>
      </c>
      <c r="H727">
        <v>29.72</v>
      </c>
      <c r="I727" t="s">
        <v>34</v>
      </c>
    </row>
    <row r="728" spans="1:11" x14ac:dyDescent="0.25">
      <c r="A728">
        <v>809</v>
      </c>
      <c r="B728" t="s">
        <v>11</v>
      </c>
      <c r="C728" t="s">
        <v>12</v>
      </c>
      <c r="D728" s="6">
        <v>54.28</v>
      </c>
      <c r="E728">
        <v>534.30999999999995</v>
      </c>
      <c r="F728">
        <v>416.95</v>
      </c>
      <c r="G728">
        <v>190</v>
      </c>
      <c r="H728">
        <v>32.450000000000003</v>
      </c>
      <c r="I728" t="s">
        <v>22</v>
      </c>
      <c r="J728" s="1">
        <v>45735</v>
      </c>
      <c r="K728">
        <v>2025</v>
      </c>
    </row>
    <row r="729" spans="1:11" x14ac:dyDescent="0.25">
      <c r="A729">
        <v>810</v>
      </c>
      <c r="B729" t="s">
        <v>14</v>
      </c>
      <c r="C729" t="s">
        <v>20</v>
      </c>
      <c r="D729" s="6">
        <v>58.99</v>
      </c>
      <c r="E729">
        <v>530.85</v>
      </c>
      <c r="F729">
        <v>603.59</v>
      </c>
      <c r="G729">
        <v>148.54</v>
      </c>
      <c r="H729">
        <v>33.770000000000003</v>
      </c>
      <c r="I729" t="s">
        <v>18</v>
      </c>
      <c r="J729" s="1">
        <v>45736</v>
      </c>
      <c r="K729">
        <v>2025</v>
      </c>
    </row>
    <row r="730" spans="1:11" x14ac:dyDescent="0.25">
      <c r="A730">
        <v>811</v>
      </c>
      <c r="B730" t="s">
        <v>14</v>
      </c>
      <c r="C730" t="s">
        <v>20</v>
      </c>
      <c r="D730" s="6">
        <v>59.02</v>
      </c>
      <c r="E730">
        <v>433.37</v>
      </c>
      <c r="F730">
        <v>352.35</v>
      </c>
      <c r="G730">
        <v>224.84</v>
      </c>
      <c r="H730">
        <v>23.78</v>
      </c>
      <c r="I730" t="s">
        <v>13</v>
      </c>
      <c r="J730" s="1">
        <v>45737</v>
      </c>
      <c r="K730">
        <v>2025</v>
      </c>
    </row>
    <row r="731" spans="1:11" x14ac:dyDescent="0.25">
      <c r="A731">
        <v>812</v>
      </c>
      <c r="B731" t="s">
        <v>14</v>
      </c>
      <c r="C731" t="s">
        <v>34</v>
      </c>
      <c r="D731" s="6">
        <v>52.14</v>
      </c>
      <c r="E731">
        <v>482.23</v>
      </c>
      <c r="F731">
        <v>385.22</v>
      </c>
      <c r="G731">
        <v>157.94999999999999</v>
      </c>
      <c r="H731">
        <v>29.87</v>
      </c>
      <c r="I731" t="s">
        <v>13</v>
      </c>
      <c r="J731" s="1">
        <v>45738</v>
      </c>
      <c r="K731">
        <v>2025</v>
      </c>
    </row>
    <row r="732" spans="1:11" x14ac:dyDescent="0.25">
      <c r="A732">
        <v>813</v>
      </c>
      <c r="B732" t="s">
        <v>21</v>
      </c>
      <c r="C732" t="s">
        <v>15</v>
      </c>
      <c r="D732" s="6">
        <v>57.34</v>
      </c>
      <c r="E732">
        <v>434.04</v>
      </c>
      <c r="F732">
        <v>508.25</v>
      </c>
      <c r="G732">
        <v>179.79</v>
      </c>
      <c r="H732">
        <v>18.649999999999999</v>
      </c>
      <c r="I732" t="s">
        <v>13</v>
      </c>
      <c r="J732" s="1">
        <v>45739</v>
      </c>
      <c r="K732">
        <v>2025</v>
      </c>
    </row>
    <row r="733" spans="1:11" x14ac:dyDescent="0.25">
      <c r="A733">
        <v>814</v>
      </c>
      <c r="B733" t="s">
        <v>14</v>
      </c>
      <c r="C733" t="s">
        <v>12</v>
      </c>
      <c r="D733" s="6">
        <v>43.51</v>
      </c>
      <c r="E733">
        <v>429.51</v>
      </c>
      <c r="F733">
        <v>320.89999999999998</v>
      </c>
      <c r="G733">
        <v>213.27</v>
      </c>
      <c r="H733">
        <v>28.95</v>
      </c>
      <c r="I733" t="s">
        <v>13</v>
      </c>
      <c r="J733" s="1">
        <v>45740</v>
      </c>
      <c r="K733">
        <v>2025</v>
      </c>
    </row>
    <row r="734" spans="1:11" x14ac:dyDescent="0.25">
      <c r="A734">
        <v>815</v>
      </c>
      <c r="B734" t="s">
        <v>21</v>
      </c>
      <c r="C734" t="s">
        <v>12</v>
      </c>
      <c r="D734" s="6">
        <v>50.83</v>
      </c>
      <c r="E734">
        <v>327.01</v>
      </c>
      <c r="F734">
        <v>400.92</v>
      </c>
      <c r="G734">
        <v>268.02999999999997</v>
      </c>
      <c r="H734">
        <v>25.49</v>
      </c>
      <c r="I734" t="s">
        <v>22</v>
      </c>
      <c r="J734" s="1">
        <v>45741</v>
      </c>
      <c r="K734">
        <v>2025</v>
      </c>
    </row>
    <row r="735" spans="1:11" x14ac:dyDescent="0.25">
      <c r="A735">
        <v>817</v>
      </c>
      <c r="B735" t="s">
        <v>11</v>
      </c>
      <c r="C735" t="s">
        <v>16</v>
      </c>
      <c r="D735" s="6">
        <v>42.66</v>
      </c>
      <c r="E735">
        <v>329.78</v>
      </c>
      <c r="F735">
        <v>590.4</v>
      </c>
      <c r="G735">
        <v>201.14</v>
      </c>
      <c r="H735">
        <v>21.72</v>
      </c>
      <c r="I735" t="s">
        <v>18</v>
      </c>
      <c r="J735" s="1">
        <v>45743</v>
      </c>
      <c r="K735">
        <v>2025</v>
      </c>
    </row>
    <row r="736" spans="1:11" x14ac:dyDescent="0.25">
      <c r="A736">
        <v>818</v>
      </c>
      <c r="B736" t="s">
        <v>14</v>
      </c>
      <c r="C736" t="s">
        <v>16</v>
      </c>
      <c r="D736" s="6">
        <v>50.36</v>
      </c>
      <c r="E736">
        <v>453.72</v>
      </c>
      <c r="F736">
        <v>443.84</v>
      </c>
      <c r="G736">
        <v>236.88</v>
      </c>
      <c r="H736">
        <v>27.44</v>
      </c>
      <c r="I736" t="s">
        <v>18</v>
      </c>
      <c r="J736" s="1">
        <v>45744</v>
      </c>
      <c r="K736">
        <v>2025</v>
      </c>
    </row>
    <row r="737" spans="1:11" x14ac:dyDescent="0.25">
      <c r="A737">
        <v>819</v>
      </c>
      <c r="B737" t="s">
        <v>14</v>
      </c>
      <c r="C737" t="s">
        <v>15</v>
      </c>
      <c r="D737" s="6">
        <v>53.48</v>
      </c>
      <c r="E737">
        <v>438.73</v>
      </c>
      <c r="F737">
        <v>478.09</v>
      </c>
      <c r="G737">
        <v>202.52</v>
      </c>
      <c r="H737">
        <v>34.83</v>
      </c>
      <c r="I737" t="s">
        <v>18</v>
      </c>
      <c r="J737" s="1">
        <v>45745</v>
      </c>
      <c r="K737">
        <v>2025</v>
      </c>
    </row>
    <row r="738" spans="1:11" x14ac:dyDescent="0.25">
      <c r="A738">
        <v>820</v>
      </c>
      <c r="B738" t="s">
        <v>14</v>
      </c>
      <c r="C738" t="s">
        <v>34</v>
      </c>
      <c r="D738" s="6">
        <v>61.64</v>
      </c>
      <c r="E738">
        <v>605.19000000000005</v>
      </c>
      <c r="F738">
        <v>589.91999999999996</v>
      </c>
      <c r="G738">
        <v>231.78</v>
      </c>
      <c r="H738">
        <v>26.62</v>
      </c>
      <c r="I738" t="s">
        <v>22</v>
      </c>
      <c r="J738" s="1">
        <v>45746</v>
      </c>
      <c r="K738">
        <v>2025</v>
      </c>
    </row>
    <row r="739" spans="1:11" x14ac:dyDescent="0.25">
      <c r="A739">
        <v>821</v>
      </c>
      <c r="B739" t="s">
        <v>34</v>
      </c>
      <c r="C739" t="s">
        <v>19</v>
      </c>
      <c r="D739" s="6">
        <v>52.65</v>
      </c>
      <c r="E739">
        <v>398.51</v>
      </c>
      <c r="F739">
        <v>393.33</v>
      </c>
      <c r="G739">
        <v>253.93</v>
      </c>
      <c r="H739">
        <v>20.48</v>
      </c>
      <c r="I739" t="s">
        <v>22</v>
      </c>
      <c r="J739" s="1">
        <v>45747</v>
      </c>
      <c r="K739">
        <v>2025</v>
      </c>
    </row>
    <row r="740" spans="1:11" x14ac:dyDescent="0.25">
      <c r="A740">
        <v>822</v>
      </c>
      <c r="B740" t="s">
        <v>14</v>
      </c>
      <c r="C740" t="s">
        <v>34</v>
      </c>
      <c r="D740" s="6">
        <v>56.42</v>
      </c>
      <c r="E740">
        <v>423.88</v>
      </c>
      <c r="F740">
        <v>442.56</v>
      </c>
      <c r="G740">
        <v>183.61</v>
      </c>
      <c r="H740">
        <v>31.29</v>
      </c>
      <c r="I740" t="s">
        <v>34</v>
      </c>
      <c r="J740" s="1">
        <v>45748</v>
      </c>
      <c r="K740">
        <v>2025</v>
      </c>
    </row>
    <row r="741" spans="1:11" x14ac:dyDescent="0.25">
      <c r="A741">
        <v>823</v>
      </c>
      <c r="B741" t="s">
        <v>21</v>
      </c>
      <c r="C741" t="s">
        <v>16</v>
      </c>
      <c r="D741" s="6">
        <v>282.66000000000003</v>
      </c>
      <c r="E741">
        <v>1847.39</v>
      </c>
      <c r="F741">
        <v>353.24</v>
      </c>
      <c r="G741">
        <v>36.25</v>
      </c>
      <c r="H741">
        <v>27.07</v>
      </c>
      <c r="I741" t="s">
        <v>18</v>
      </c>
      <c r="J741" s="1">
        <v>45749</v>
      </c>
      <c r="K741">
        <v>2025</v>
      </c>
    </row>
    <row r="742" spans="1:11" x14ac:dyDescent="0.25">
      <c r="A742">
        <v>824</v>
      </c>
      <c r="B742" t="s">
        <v>14</v>
      </c>
      <c r="C742" t="s">
        <v>20</v>
      </c>
      <c r="D742" s="6">
        <v>76.88</v>
      </c>
      <c r="E742">
        <v>441.99</v>
      </c>
      <c r="F742">
        <v>352.98</v>
      </c>
      <c r="G742">
        <v>159.1</v>
      </c>
      <c r="H742">
        <v>29.07</v>
      </c>
      <c r="I742" t="s">
        <v>18</v>
      </c>
      <c r="J742" s="1">
        <v>45750</v>
      </c>
      <c r="K742">
        <v>2025</v>
      </c>
    </row>
    <row r="743" spans="1:11" x14ac:dyDescent="0.25">
      <c r="A743">
        <v>825</v>
      </c>
      <c r="B743" t="s">
        <v>17</v>
      </c>
      <c r="C743" t="s">
        <v>12</v>
      </c>
      <c r="D743" s="6">
        <v>31.9</v>
      </c>
      <c r="E743">
        <v>636.92999999999995</v>
      </c>
      <c r="F743">
        <v>369.53</v>
      </c>
      <c r="G743">
        <v>260.43</v>
      </c>
      <c r="H743">
        <v>26.35</v>
      </c>
      <c r="I743" t="s">
        <v>22</v>
      </c>
      <c r="J743" s="1">
        <v>45751</v>
      </c>
      <c r="K743">
        <v>2025</v>
      </c>
    </row>
    <row r="744" spans="1:11" x14ac:dyDescent="0.25">
      <c r="A744">
        <v>826</v>
      </c>
      <c r="B744" t="s">
        <v>11</v>
      </c>
      <c r="C744" t="s">
        <v>15</v>
      </c>
      <c r="D744" s="6">
        <v>43.12</v>
      </c>
      <c r="E744">
        <v>386.14</v>
      </c>
      <c r="F744">
        <v>420.9</v>
      </c>
      <c r="G744">
        <v>198.31</v>
      </c>
      <c r="H744">
        <v>39.869999999999997</v>
      </c>
      <c r="I744" t="s">
        <v>22</v>
      </c>
      <c r="J744" s="1">
        <v>45752</v>
      </c>
      <c r="K744">
        <v>2025</v>
      </c>
    </row>
    <row r="745" spans="1:11" x14ac:dyDescent="0.25">
      <c r="A745">
        <v>827</v>
      </c>
      <c r="B745" t="s">
        <v>14</v>
      </c>
      <c r="C745" t="s">
        <v>12</v>
      </c>
      <c r="D745" s="6">
        <v>64.739999999999995</v>
      </c>
      <c r="E745">
        <v>462.06</v>
      </c>
      <c r="F745">
        <v>433.82</v>
      </c>
      <c r="G745">
        <v>183.04</v>
      </c>
      <c r="H745">
        <v>22.21</v>
      </c>
      <c r="I745" t="s">
        <v>34</v>
      </c>
      <c r="J745" s="1">
        <v>45753</v>
      </c>
      <c r="K745">
        <v>2025</v>
      </c>
    </row>
    <row r="746" spans="1:11" x14ac:dyDescent="0.25">
      <c r="A746">
        <v>829</v>
      </c>
      <c r="B746" t="s">
        <v>17</v>
      </c>
      <c r="C746" t="s">
        <v>19</v>
      </c>
      <c r="D746" s="6">
        <v>58.86</v>
      </c>
      <c r="E746">
        <v>588.12</v>
      </c>
      <c r="F746">
        <v>373.05</v>
      </c>
      <c r="G746">
        <v>194.93</v>
      </c>
      <c r="H746">
        <v>28.05</v>
      </c>
      <c r="I746" t="s">
        <v>13</v>
      </c>
      <c r="J746" s="1">
        <v>45755</v>
      </c>
      <c r="K746">
        <v>2025</v>
      </c>
    </row>
    <row r="747" spans="1:11" x14ac:dyDescent="0.25">
      <c r="A747">
        <v>830</v>
      </c>
      <c r="B747" t="s">
        <v>17</v>
      </c>
      <c r="C747" t="s">
        <v>16</v>
      </c>
      <c r="D747" s="6">
        <v>52.3</v>
      </c>
      <c r="E747">
        <v>461.98</v>
      </c>
      <c r="F747">
        <v>518.36</v>
      </c>
      <c r="G747">
        <v>95.37</v>
      </c>
      <c r="H747">
        <v>30.92</v>
      </c>
      <c r="I747" t="s">
        <v>13</v>
      </c>
      <c r="J747" s="1">
        <v>45756</v>
      </c>
      <c r="K747">
        <v>2025</v>
      </c>
    </row>
    <row r="748" spans="1:11" x14ac:dyDescent="0.25">
      <c r="A748">
        <v>831</v>
      </c>
      <c r="B748" t="s">
        <v>34</v>
      </c>
      <c r="C748" t="s">
        <v>15</v>
      </c>
      <c r="D748" s="6">
        <v>71.05</v>
      </c>
      <c r="E748">
        <v>308.19</v>
      </c>
      <c r="F748">
        <v>538.20000000000005</v>
      </c>
      <c r="G748">
        <v>124.73</v>
      </c>
      <c r="H748">
        <v>27.13</v>
      </c>
      <c r="I748" t="s">
        <v>18</v>
      </c>
      <c r="J748" s="1">
        <v>45757</v>
      </c>
      <c r="K748">
        <v>2025</v>
      </c>
    </row>
    <row r="749" spans="1:11" x14ac:dyDescent="0.25">
      <c r="A749">
        <v>832</v>
      </c>
      <c r="B749" t="s">
        <v>14</v>
      </c>
      <c r="C749" t="s">
        <v>12</v>
      </c>
      <c r="D749" s="6">
        <v>38.869999999999997</v>
      </c>
      <c r="E749">
        <v>484.99</v>
      </c>
      <c r="F749">
        <v>423.86</v>
      </c>
      <c r="G749">
        <v>220.93</v>
      </c>
      <c r="H749">
        <v>26.92</v>
      </c>
      <c r="I749" t="s">
        <v>18</v>
      </c>
      <c r="J749" s="1">
        <v>45758</v>
      </c>
      <c r="K749">
        <v>2025</v>
      </c>
    </row>
    <row r="750" spans="1:11" x14ac:dyDescent="0.25">
      <c r="A750">
        <v>834</v>
      </c>
      <c r="B750" t="s">
        <v>34</v>
      </c>
      <c r="C750" t="s">
        <v>20</v>
      </c>
      <c r="D750" s="6">
        <v>67.5</v>
      </c>
      <c r="E750">
        <v>528.22</v>
      </c>
      <c r="F750">
        <v>490.21</v>
      </c>
      <c r="G750">
        <v>272.73</v>
      </c>
      <c r="H750">
        <v>33.01</v>
      </c>
      <c r="I750" t="s">
        <v>34</v>
      </c>
      <c r="J750" s="1">
        <v>45760</v>
      </c>
      <c r="K750">
        <v>2025</v>
      </c>
    </row>
    <row r="751" spans="1:11" x14ac:dyDescent="0.25">
      <c r="A751">
        <v>835</v>
      </c>
      <c r="B751" t="s">
        <v>14</v>
      </c>
      <c r="C751" t="s">
        <v>19</v>
      </c>
      <c r="D751" s="6">
        <v>39.86</v>
      </c>
      <c r="E751">
        <v>523.64</v>
      </c>
      <c r="F751">
        <v>455.65</v>
      </c>
      <c r="G751">
        <v>163.34</v>
      </c>
      <c r="H751">
        <v>22.95</v>
      </c>
      <c r="I751" t="s">
        <v>13</v>
      </c>
      <c r="J751" s="1">
        <v>45761</v>
      </c>
      <c r="K751">
        <v>2025</v>
      </c>
    </row>
    <row r="752" spans="1:11" x14ac:dyDescent="0.25">
      <c r="A752">
        <v>836</v>
      </c>
      <c r="B752" t="s">
        <v>14</v>
      </c>
      <c r="C752" t="s">
        <v>20</v>
      </c>
      <c r="D752" s="6">
        <v>57.83</v>
      </c>
      <c r="E752">
        <v>393.7</v>
      </c>
      <c r="F752">
        <v>506.44</v>
      </c>
      <c r="G752">
        <v>184.52</v>
      </c>
      <c r="H752">
        <v>31.82</v>
      </c>
      <c r="I752" t="s">
        <v>13</v>
      </c>
      <c r="J752" s="1">
        <v>45762</v>
      </c>
      <c r="K752">
        <v>2025</v>
      </c>
    </row>
    <row r="753" spans="1:11" x14ac:dyDescent="0.25">
      <c r="A753">
        <v>837</v>
      </c>
      <c r="B753" t="s">
        <v>21</v>
      </c>
      <c r="C753" t="s">
        <v>15</v>
      </c>
      <c r="D753" s="6">
        <v>40.35</v>
      </c>
      <c r="E753">
        <v>383.43</v>
      </c>
      <c r="F753">
        <v>668.38</v>
      </c>
      <c r="G753">
        <v>155.77000000000001</v>
      </c>
      <c r="H753">
        <v>19.079999999999998</v>
      </c>
      <c r="I753" t="s">
        <v>13</v>
      </c>
      <c r="J753" s="1">
        <v>45763</v>
      </c>
      <c r="K753">
        <v>2025</v>
      </c>
    </row>
    <row r="754" spans="1:11" x14ac:dyDescent="0.25">
      <c r="A754">
        <v>839</v>
      </c>
      <c r="B754" t="s">
        <v>34</v>
      </c>
      <c r="C754" t="s">
        <v>16</v>
      </c>
      <c r="D754" s="6">
        <v>47.43</v>
      </c>
      <c r="E754">
        <v>357.36</v>
      </c>
      <c r="F754">
        <v>403.29</v>
      </c>
      <c r="G754">
        <v>105.4</v>
      </c>
      <c r="H754">
        <v>34.25</v>
      </c>
      <c r="I754" t="s">
        <v>18</v>
      </c>
      <c r="J754" s="1">
        <v>45765</v>
      </c>
      <c r="K754">
        <v>2025</v>
      </c>
    </row>
    <row r="755" spans="1:11" x14ac:dyDescent="0.25">
      <c r="A755">
        <v>840</v>
      </c>
      <c r="B755" t="s">
        <v>14</v>
      </c>
      <c r="C755" t="s">
        <v>12</v>
      </c>
      <c r="D755" s="6">
        <v>25.97</v>
      </c>
      <c r="E755">
        <v>578.14</v>
      </c>
      <c r="F755">
        <v>373.09</v>
      </c>
      <c r="G755">
        <v>180.72</v>
      </c>
      <c r="H755">
        <v>23.63</v>
      </c>
      <c r="I755" t="s">
        <v>13</v>
      </c>
      <c r="J755" s="1">
        <v>45766</v>
      </c>
      <c r="K755">
        <v>2025</v>
      </c>
    </row>
    <row r="756" spans="1:11" x14ac:dyDescent="0.25">
      <c r="A756">
        <v>841</v>
      </c>
      <c r="B756" t="s">
        <v>14</v>
      </c>
      <c r="C756" t="s">
        <v>12</v>
      </c>
      <c r="D756" s="6">
        <v>54.24</v>
      </c>
      <c r="E756">
        <v>415.34</v>
      </c>
      <c r="F756">
        <v>377.74</v>
      </c>
      <c r="G756">
        <v>197.41</v>
      </c>
      <c r="H756">
        <v>33.39</v>
      </c>
      <c r="I756" t="s">
        <v>34</v>
      </c>
      <c r="J756" s="1">
        <v>45767</v>
      </c>
      <c r="K756">
        <v>2025</v>
      </c>
    </row>
    <row r="757" spans="1:11" x14ac:dyDescent="0.25">
      <c r="A757">
        <v>842</v>
      </c>
      <c r="B757" t="s">
        <v>34</v>
      </c>
      <c r="C757" t="s">
        <v>20</v>
      </c>
      <c r="D757" s="6">
        <v>51.43</v>
      </c>
      <c r="E757">
        <v>497.53</v>
      </c>
      <c r="F757">
        <v>304.47000000000003</v>
      </c>
      <c r="G757">
        <v>193.18</v>
      </c>
      <c r="H757">
        <v>30.26</v>
      </c>
      <c r="I757" t="s">
        <v>13</v>
      </c>
      <c r="J757" s="1">
        <v>45768</v>
      </c>
      <c r="K757">
        <v>2025</v>
      </c>
    </row>
    <row r="758" spans="1:11" x14ac:dyDescent="0.25">
      <c r="A758">
        <v>843</v>
      </c>
      <c r="B758" t="s">
        <v>21</v>
      </c>
      <c r="C758" t="s">
        <v>19</v>
      </c>
      <c r="D758" s="6">
        <v>64.790000000000006</v>
      </c>
      <c r="E758">
        <v>311.42</v>
      </c>
      <c r="F758">
        <v>591.92999999999995</v>
      </c>
      <c r="G758">
        <v>307.48</v>
      </c>
      <c r="H758">
        <v>37.99</v>
      </c>
      <c r="I758" t="s">
        <v>13</v>
      </c>
    </row>
    <row r="759" spans="1:11" x14ac:dyDescent="0.25">
      <c r="A759">
        <v>844</v>
      </c>
      <c r="B759" t="s">
        <v>17</v>
      </c>
      <c r="C759" t="s">
        <v>34</v>
      </c>
      <c r="D759" s="6">
        <v>56.11</v>
      </c>
      <c r="E759">
        <v>460.62</v>
      </c>
      <c r="F759">
        <v>212.01</v>
      </c>
      <c r="G759">
        <v>291.67</v>
      </c>
      <c r="H759">
        <v>25.72</v>
      </c>
      <c r="I759" t="s">
        <v>18</v>
      </c>
      <c r="J759" s="1">
        <v>45770</v>
      </c>
      <c r="K759">
        <v>2025</v>
      </c>
    </row>
    <row r="760" spans="1:11" x14ac:dyDescent="0.25">
      <c r="A760">
        <v>846</v>
      </c>
      <c r="B760" t="s">
        <v>14</v>
      </c>
      <c r="C760" t="s">
        <v>16</v>
      </c>
      <c r="D760" s="6">
        <v>51.07</v>
      </c>
      <c r="E760">
        <v>267.8</v>
      </c>
      <c r="F760">
        <v>375.83</v>
      </c>
      <c r="G760">
        <v>97.8</v>
      </c>
      <c r="H760">
        <v>18.05</v>
      </c>
      <c r="I760" t="s">
        <v>34</v>
      </c>
      <c r="J760" s="1">
        <v>45772</v>
      </c>
      <c r="K760">
        <v>2025</v>
      </c>
    </row>
    <row r="761" spans="1:11" x14ac:dyDescent="0.25">
      <c r="A761">
        <v>847</v>
      </c>
      <c r="B761" t="s">
        <v>17</v>
      </c>
      <c r="C761" t="s">
        <v>20</v>
      </c>
      <c r="D761" s="6">
        <v>48.94</v>
      </c>
      <c r="E761">
        <v>554.17999999999995</v>
      </c>
      <c r="F761">
        <v>418.51</v>
      </c>
      <c r="G761">
        <v>195.04</v>
      </c>
      <c r="H761">
        <v>28.35</v>
      </c>
      <c r="I761" t="s">
        <v>22</v>
      </c>
      <c r="J761" s="1">
        <v>45773</v>
      </c>
      <c r="K761">
        <v>2025</v>
      </c>
    </row>
    <row r="762" spans="1:11" x14ac:dyDescent="0.25">
      <c r="A762">
        <v>848</v>
      </c>
      <c r="B762" t="s">
        <v>11</v>
      </c>
      <c r="C762" t="s">
        <v>20</v>
      </c>
      <c r="D762" s="6">
        <v>48.16</v>
      </c>
      <c r="E762">
        <v>664.12</v>
      </c>
      <c r="F762">
        <v>372.24</v>
      </c>
      <c r="G762">
        <v>218.83</v>
      </c>
      <c r="H762">
        <v>21.51</v>
      </c>
      <c r="I762" t="s">
        <v>22</v>
      </c>
      <c r="J762" s="1">
        <v>45774</v>
      </c>
      <c r="K762">
        <v>2025</v>
      </c>
    </row>
    <row r="763" spans="1:11" x14ac:dyDescent="0.25">
      <c r="A763">
        <v>849</v>
      </c>
      <c r="B763" t="s">
        <v>21</v>
      </c>
      <c r="C763" t="s">
        <v>34</v>
      </c>
      <c r="D763" s="6">
        <v>45.6</v>
      </c>
      <c r="E763">
        <v>612.95000000000005</v>
      </c>
      <c r="F763">
        <v>653.5</v>
      </c>
      <c r="G763">
        <v>156.97999999999999</v>
      </c>
      <c r="H763">
        <v>39.26</v>
      </c>
      <c r="I763" t="s">
        <v>22</v>
      </c>
      <c r="J763" s="1">
        <v>45775</v>
      </c>
      <c r="K763">
        <v>2025</v>
      </c>
    </row>
    <row r="764" spans="1:11" x14ac:dyDescent="0.25">
      <c r="A764">
        <v>850</v>
      </c>
      <c r="B764" t="s">
        <v>21</v>
      </c>
      <c r="C764" t="s">
        <v>16</v>
      </c>
      <c r="D764" s="6">
        <v>27.92</v>
      </c>
      <c r="E764">
        <v>568.16999999999996</v>
      </c>
      <c r="F764">
        <v>481.96</v>
      </c>
      <c r="G764">
        <v>159.44999999999999</v>
      </c>
      <c r="H764">
        <v>28.69</v>
      </c>
      <c r="I764" t="s">
        <v>18</v>
      </c>
      <c r="J764" s="1">
        <v>45776</v>
      </c>
      <c r="K764">
        <v>2025</v>
      </c>
    </row>
    <row r="765" spans="1:11" x14ac:dyDescent="0.25">
      <c r="A765">
        <v>851</v>
      </c>
      <c r="B765" t="s">
        <v>11</v>
      </c>
      <c r="C765" t="s">
        <v>19</v>
      </c>
      <c r="D765" s="6">
        <v>47.8</v>
      </c>
      <c r="E765">
        <v>458.59</v>
      </c>
      <c r="F765">
        <v>574.85</v>
      </c>
      <c r="G765">
        <v>279.13</v>
      </c>
      <c r="H765">
        <v>29.14</v>
      </c>
      <c r="I765" t="s">
        <v>13</v>
      </c>
      <c r="J765" s="1">
        <v>45777</v>
      </c>
      <c r="K765">
        <v>2025</v>
      </c>
    </row>
    <row r="766" spans="1:11" x14ac:dyDescent="0.25">
      <c r="A766">
        <v>852</v>
      </c>
      <c r="B766" t="s">
        <v>11</v>
      </c>
      <c r="C766" t="s">
        <v>16</v>
      </c>
      <c r="D766" s="6">
        <v>29.32</v>
      </c>
      <c r="E766">
        <v>580.59</v>
      </c>
      <c r="F766">
        <v>636.05999999999995</v>
      </c>
      <c r="G766">
        <v>187.12</v>
      </c>
      <c r="H766">
        <v>32.22</v>
      </c>
      <c r="I766" t="s">
        <v>34</v>
      </c>
      <c r="J766" s="1">
        <v>45778</v>
      </c>
      <c r="K766">
        <v>2025</v>
      </c>
    </row>
    <row r="767" spans="1:11" x14ac:dyDescent="0.25">
      <c r="A767">
        <v>854</v>
      </c>
      <c r="B767" t="s">
        <v>21</v>
      </c>
      <c r="C767" t="s">
        <v>16</v>
      </c>
      <c r="D767" s="6">
        <v>49.33</v>
      </c>
      <c r="E767">
        <v>513.67999999999995</v>
      </c>
      <c r="F767">
        <v>336.53</v>
      </c>
      <c r="G767">
        <v>153.47999999999999</v>
      </c>
      <c r="H767">
        <v>27.03</v>
      </c>
      <c r="I767" t="s">
        <v>13</v>
      </c>
      <c r="J767" s="1">
        <v>45780</v>
      </c>
      <c r="K767">
        <v>2025</v>
      </c>
    </row>
    <row r="768" spans="1:11" x14ac:dyDescent="0.25">
      <c r="A768">
        <v>855</v>
      </c>
      <c r="B768" t="s">
        <v>11</v>
      </c>
      <c r="C768" t="s">
        <v>16</v>
      </c>
      <c r="D768" s="6">
        <v>41.06</v>
      </c>
      <c r="E768">
        <v>381.56</v>
      </c>
      <c r="F768">
        <v>453.52</v>
      </c>
      <c r="G768">
        <v>197.15</v>
      </c>
      <c r="H768">
        <v>23.72</v>
      </c>
      <c r="I768" t="s">
        <v>34</v>
      </c>
      <c r="J768" s="1">
        <v>45781</v>
      </c>
      <c r="K768">
        <v>2025</v>
      </c>
    </row>
    <row r="769" spans="1:11" x14ac:dyDescent="0.25">
      <c r="A769">
        <v>857</v>
      </c>
      <c r="B769" t="s">
        <v>21</v>
      </c>
      <c r="C769" t="s">
        <v>20</v>
      </c>
      <c r="D769" s="6">
        <v>47.95</v>
      </c>
      <c r="E769">
        <v>670.27</v>
      </c>
      <c r="F769">
        <v>419.58</v>
      </c>
      <c r="G769">
        <v>166.23</v>
      </c>
      <c r="H769">
        <v>31.89</v>
      </c>
      <c r="I769" t="s">
        <v>18</v>
      </c>
      <c r="J769" s="1">
        <v>45783</v>
      </c>
      <c r="K769">
        <v>2025</v>
      </c>
    </row>
    <row r="770" spans="1:11" x14ac:dyDescent="0.25">
      <c r="A770">
        <v>858</v>
      </c>
      <c r="B770" t="s">
        <v>21</v>
      </c>
      <c r="C770" t="s">
        <v>16</v>
      </c>
      <c r="D770" s="6">
        <v>50.07</v>
      </c>
      <c r="E770">
        <v>492.53</v>
      </c>
      <c r="F770">
        <v>468.65</v>
      </c>
      <c r="G770">
        <v>257.77</v>
      </c>
      <c r="H770">
        <v>33.479999999999997</v>
      </c>
      <c r="I770" t="s">
        <v>18</v>
      </c>
      <c r="J770" s="1">
        <v>45784</v>
      </c>
      <c r="K770">
        <v>2025</v>
      </c>
    </row>
    <row r="771" spans="1:11" x14ac:dyDescent="0.25">
      <c r="A771">
        <v>859</v>
      </c>
      <c r="B771" t="s">
        <v>11</v>
      </c>
      <c r="C771" t="s">
        <v>34</v>
      </c>
      <c r="D771" s="6">
        <v>60.84</v>
      </c>
      <c r="E771">
        <v>167.52</v>
      </c>
      <c r="F771">
        <v>463.9</v>
      </c>
      <c r="G771">
        <v>130.56</v>
      </c>
      <c r="H771">
        <v>39.56</v>
      </c>
      <c r="I771" t="s">
        <v>18</v>
      </c>
      <c r="J771" s="1">
        <v>45785</v>
      </c>
      <c r="K771">
        <v>2025</v>
      </c>
    </row>
    <row r="772" spans="1:11" x14ac:dyDescent="0.25">
      <c r="A772">
        <v>860</v>
      </c>
      <c r="B772" t="s">
        <v>21</v>
      </c>
      <c r="C772" t="s">
        <v>16</v>
      </c>
      <c r="D772" s="6">
        <v>88.16</v>
      </c>
      <c r="E772">
        <v>353.11</v>
      </c>
      <c r="F772">
        <v>529.45000000000005</v>
      </c>
      <c r="G772">
        <v>215</v>
      </c>
      <c r="H772">
        <v>19.13</v>
      </c>
      <c r="I772" t="s">
        <v>13</v>
      </c>
      <c r="J772" s="1">
        <v>45786</v>
      </c>
      <c r="K772">
        <v>2025</v>
      </c>
    </row>
    <row r="773" spans="1:11" x14ac:dyDescent="0.25">
      <c r="A773">
        <v>861</v>
      </c>
      <c r="B773" t="s">
        <v>11</v>
      </c>
      <c r="C773" t="s">
        <v>12</v>
      </c>
      <c r="D773" s="6">
        <v>54.8</v>
      </c>
      <c r="E773">
        <v>457.56</v>
      </c>
      <c r="F773">
        <v>546.88</v>
      </c>
      <c r="G773">
        <v>182.24</v>
      </c>
      <c r="H773">
        <v>29.66</v>
      </c>
      <c r="I773" t="s">
        <v>13</v>
      </c>
      <c r="J773" s="1">
        <v>45787</v>
      </c>
      <c r="K773">
        <v>2025</v>
      </c>
    </row>
    <row r="774" spans="1:11" x14ac:dyDescent="0.25">
      <c r="A774">
        <v>862</v>
      </c>
      <c r="B774" t="s">
        <v>11</v>
      </c>
      <c r="C774" t="s">
        <v>20</v>
      </c>
      <c r="D774" s="6">
        <v>77.31</v>
      </c>
      <c r="E774">
        <v>603.58000000000004</v>
      </c>
      <c r="F774">
        <v>463.9</v>
      </c>
      <c r="G774">
        <v>220.74</v>
      </c>
      <c r="H774">
        <v>35.96</v>
      </c>
      <c r="I774" t="s">
        <v>13</v>
      </c>
      <c r="J774" s="1">
        <v>45788</v>
      </c>
      <c r="K774">
        <v>2025</v>
      </c>
    </row>
    <row r="775" spans="1:11" x14ac:dyDescent="0.25">
      <c r="A775">
        <v>863</v>
      </c>
      <c r="B775" t="s">
        <v>14</v>
      </c>
      <c r="C775" t="s">
        <v>12</v>
      </c>
      <c r="D775" s="6">
        <v>53.77</v>
      </c>
      <c r="E775">
        <v>472.69</v>
      </c>
      <c r="F775">
        <v>528.41999999999996</v>
      </c>
      <c r="G775">
        <v>182.92</v>
      </c>
      <c r="H775">
        <v>29.38</v>
      </c>
      <c r="I775" t="s">
        <v>34</v>
      </c>
      <c r="J775" s="1">
        <v>45789</v>
      </c>
      <c r="K775">
        <v>2025</v>
      </c>
    </row>
    <row r="776" spans="1:11" x14ac:dyDescent="0.25">
      <c r="A776">
        <v>864</v>
      </c>
      <c r="B776" t="s">
        <v>14</v>
      </c>
      <c r="C776" t="s">
        <v>20</v>
      </c>
      <c r="D776" s="6">
        <v>48.2</v>
      </c>
      <c r="E776">
        <v>605.44000000000005</v>
      </c>
      <c r="F776">
        <v>414.08</v>
      </c>
      <c r="G776">
        <v>243.36</v>
      </c>
      <c r="H776">
        <v>18.309999999999999</v>
      </c>
      <c r="I776" t="s">
        <v>34</v>
      </c>
      <c r="J776" s="1">
        <v>45790</v>
      </c>
      <c r="K776">
        <v>2025</v>
      </c>
    </row>
    <row r="777" spans="1:11" x14ac:dyDescent="0.25">
      <c r="A777">
        <v>865</v>
      </c>
      <c r="B777" t="s">
        <v>11</v>
      </c>
      <c r="C777" t="s">
        <v>12</v>
      </c>
      <c r="D777" s="6">
        <v>42.21</v>
      </c>
      <c r="E777">
        <v>447.38</v>
      </c>
      <c r="F777">
        <v>637.77</v>
      </c>
      <c r="G777">
        <v>153.01</v>
      </c>
      <c r="H777">
        <v>23.54</v>
      </c>
      <c r="I777" t="s">
        <v>13</v>
      </c>
      <c r="J777" s="1">
        <v>45791</v>
      </c>
      <c r="K777">
        <v>2025</v>
      </c>
    </row>
    <row r="778" spans="1:11" x14ac:dyDescent="0.25">
      <c r="A778">
        <v>866</v>
      </c>
      <c r="B778" t="s">
        <v>17</v>
      </c>
      <c r="C778" t="s">
        <v>16</v>
      </c>
      <c r="D778" s="6">
        <v>48.06</v>
      </c>
      <c r="E778">
        <v>303.57</v>
      </c>
      <c r="F778">
        <v>412.14</v>
      </c>
      <c r="G778">
        <v>257.88</v>
      </c>
      <c r="H778">
        <v>31.64</v>
      </c>
      <c r="I778" t="s">
        <v>13</v>
      </c>
      <c r="J778" s="1">
        <v>45792</v>
      </c>
      <c r="K778">
        <v>2025</v>
      </c>
    </row>
    <row r="779" spans="1:11" x14ac:dyDescent="0.25">
      <c r="A779">
        <v>867</v>
      </c>
      <c r="B779" t="s">
        <v>21</v>
      </c>
      <c r="C779" t="s">
        <v>16</v>
      </c>
      <c r="D779" s="6">
        <v>205.69</v>
      </c>
      <c r="E779">
        <v>1803.38</v>
      </c>
      <c r="F779">
        <v>623.66</v>
      </c>
      <c r="G779">
        <v>198.56</v>
      </c>
      <c r="H779">
        <v>31.46</v>
      </c>
      <c r="I779" t="s">
        <v>18</v>
      </c>
      <c r="J779" s="1">
        <v>45793</v>
      </c>
      <c r="K779">
        <v>2025</v>
      </c>
    </row>
    <row r="780" spans="1:11" x14ac:dyDescent="0.25">
      <c r="A780">
        <v>868</v>
      </c>
      <c r="B780" t="s">
        <v>34</v>
      </c>
      <c r="C780" t="s">
        <v>15</v>
      </c>
      <c r="D780" s="6">
        <v>52.69</v>
      </c>
      <c r="E780">
        <v>534.49</v>
      </c>
      <c r="F780">
        <v>302.87</v>
      </c>
      <c r="G780">
        <v>133.57</v>
      </c>
      <c r="H780">
        <v>33.36</v>
      </c>
      <c r="I780" t="s">
        <v>13</v>
      </c>
      <c r="J780" s="1">
        <v>45794</v>
      </c>
      <c r="K780">
        <v>2025</v>
      </c>
    </row>
    <row r="781" spans="1:11" x14ac:dyDescent="0.25">
      <c r="A781">
        <v>869</v>
      </c>
      <c r="B781" t="s">
        <v>14</v>
      </c>
      <c r="C781" t="s">
        <v>34</v>
      </c>
      <c r="D781" s="6">
        <v>156.06</v>
      </c>
      <c r="E781">
        <v>526.20000000000005</v>
      </c>
      <c r="F781">
        <v>434.35</v>
      </c>
      <c r="G781">
        <v>234.01</v>
      </c>
      <c r="H781">
        <v>26.09</v>
      </c>
      <c r="I781" t="s">
        <v>13</v>
      </c>
      <c r="J781" s="1">
        <v>45795</v>
      </c>
      <c r="K781">
        <v>2025</v>
      </c>
    </row>
    <row r="782" spans="1:11" x14ac:dyDescent="0.25">
      <c r="A782">
        <v>871</v>
      </c>
      <c r="B782" t="s">
        <v>14</v>
      </c>
      <c r="C782" t="s">
        <v>19</v>
      </c>
      <c r="D782" s="6">
        <v>49.81</v>
      </c>
      <c r="E782">
        <v>464.88</v>
      </c>
      <c r="F782">
        <v>513.48</v>
      </c>
      <c r="G782">
        <v>114.61</v>
      </c>
      <c r="H782">
        <v>25.27</v>
      </c>
      <c r="I782" t="s">
        <v>13</v>
      </c>
      <c r="J782" s="1">
        <v>45797</v>
      </c>
      <c r="K782">
        <v>2025</v>
      </c>
    </row>
    <row r="783" spans="1:11" x14ac:dyDescent="0.25">
      <c r="A783">
        <v>872</v>
      </c>
      <c r="B783" t="s">
        <v>14</v>
      </c>
      <c r="C783" t="s">
        <v>15</v>
      </c>
      <c r="D783" s="6">
        <v>60.76</v>
      </c>
      <c r="E783">
        <v>768.47</v>
      </c>
      <c r="F783">
        <v>583.41999999999996</v>
      </c>
      <c r="G783">
        <v>216.62</v>
      </c>
      <c r="H783">
        <v>31.3</v>
      </c>
      <c r="I783" t="s">
        <v>13</v>
      </c>
      <c r="J783" s="1">
        <v>45798</v>
      </c>
      <c r="K783">
        <v>2025</v>
      </c>
    </row>
    <row r="784" spans="1:11" x14ac:dyDescent="0.25">
      <c r="A784">
        <v>873</v>
      </c>
      <c r="B784" t="s">
        <v>11</v>
      </c>
      <c r="C784" t="s">
        <v>12</v>
      </c>
      <c r="D784" s="6">
        <v>46.01</v>
      </c>
      <c r="E784">
        <v>376.67</v>
      </c>
      <c r="F784">
        <v>330.07</v>
      </c>
      <c r="G784">
        <v>250.33</v>
      </c>
      <c r="H784">
        <v>30.27</v>
      </c>
      <c r="I784" t="s">
        <v>34</v>
      </c>
      <c r="J784" s="1">
        <v>45799</v>
      </c>
      <c r="K784">
        <v>2025</v>
      </c>
    </row>
    <row r="785" spans="1:11" x14ac:dyDescent="0.25">
      <c r="A785">
        <v>874</v>
      </c>
      <c r="B785" t="s">
        <v>14</v>
      </c>
      <c r="C785" t="s">
        <v>12</v>
      </c>
      <c r="D785" s="6">
        <v>43.47</v>
      </c>
      <c r="E785">
        <v>566.07000000000005</v>
      </c>
      <c r="F785">
        <v>347.04</v>
      </c>
      <c r="G785">
        <v>264.11</v>
      </c>
      <c r="H785">
        <v>25.9</v>
      </c>
      <c r="I785" t="s">
        <v>13</v>
      </c>
      <c r="J785" s="1">
        <v>45800</v>
      </c>
      <c r="K785">
        <v>2025</v>
      </c>
    </row>
    <row r="786" spans="1:11" x14ac:dyDescent="0.25">
      <c r="A786">
        <v>875</v>
      </c>
      <c r="B786" t="s">
        <v>11</v>
      </c>
      <c r="C786" t="s">
        <v>15</v>
      </c>
      <c r="D786" s="6">
        <v>36.22</v>
      </c>
      <c r="E786">
        <v>290.33</v>
      </c>
      <c r="F786">
        <v>311.77</v>
      </c>
      <c r="G786">
        <v>181.08</v>
      </c>
      <c r="H786">
        <v>37.79</v>
      </c>
      <c r="I786" t="s">
        <v>34</v>
      </c>
      <c r="J786" s="1">
        <v>45801</v>
      </c>
      <c r="K786">
        <v>2025</v>
      </c>
    </row>
    <row r="787" spans="1:11" x14ac:dyDescent="0.25">
      <c r="A787">
        <v>876</v>
      </c>
      <c r="B787" t="s">
        <v>14</v>
      </c>
      <c r="C787" t="s">
        <v>16</v>
      </c>
      <c r="D787" s="6">
        <v>31.42</v>
      </c>
      <c r="E787">
        <v>586.38</v>
      </c>
      <c r="F787">
        <v>638.41999999999996</v>
      </c>
      <c r="G787">
        <v>207.27</v>
      </c>
      <c r="H787">
        <v>21.47</v>
      </c>
      <c r="I787" t="s">
        <v>13</v>
      </c>
      <c r="J787" s="1">
        <v>45802</v>
      </c>
      <c r="K787">
        <v>2025</v>
      </c>
    </row>
    <row r="788" spans="1:11" x14ac:dyDescent="0.25">
      <c r="A788">
        <v>877</v>
      </c>
      <c r="B788" t="s">
        <v>14</v>
      </c>
      <c r="C788" t="s">
        <v>12</v>
      </c>
      <c r="D788" s="6">
        <v>58.31</v>
      </c>
      <c r="E788">
        <v>410.77</v>
      </c>
      <c r="F788">
        <v>515.71</v>
      </c>
      <c r="G788">
        <v>202.53</v>
      </c>
      <c r="H788">
        <v>29.29</v>
      </c>
      <c r="I788" t="s">
        <v>34</v>
      </c>
      <c r="J788" s="1">
        <v>45803</v>
      </c>
      <c r="K788">
        <v>2025</v>
      </c>
    </row>
    <row r="789" spans="1:11" x14ac:dyDescent="0.25">
      <c r="A789">
        <v>878</v>
      </c>
      <c r="B789" t="s">
        <v>21</v>
      </c>
      <c r="C789" t="s">
        <v>34</v>
      </c>
      <c r="D789" s="6">
        <v>48.19</v>
      </c>
      <c r="E789">
        <v>540.21</v>
      </c>
      <c r="F789">
        <v>349.88</v>
      </c>
      <c r="G789">
        <v>274.49</v>
      </c>
      <c r="H789">
        <v>25.79</v>
      </c>
      <c r="I789" t="s">
        <v>13</v>
      </c>
      <c r="J789" s="1">
        <v>45804</v>
      </c>
      <c r="K789">
        <v>2025</v>
      </c>
    </row>
    <row r="790" spans="1:11" x14ac:dyDescent="0.25">
      <c r="A790">
        <v>879</v>
      </c>
      <c r="B790" t="s">
        <v>17</v>
      </c>
      <c r="C790" t="s">
        <v>15</v>
      </c>
      <c r="D790" s="6">
        <v>57.72</v>
      </c>
      <c r="E790">
        <v>370.85</v>
      </c>
      <c r="F790">
        <v>426.83</v>
      </c>
      <c r="G790">
        <v>159.47999999999999</v>
      </c>
      <c r="H790">
        <v>39.17</v>
      </c>
      <c r="I790" t="s">
        <v>34</v>
      </c>
      <c r="J790" s="1">
        <v>45805</v>
      </c>
      <c r="K790">
        <v>2025</v>
      </c>
    </row>
    <row r="791" spans="1:11" x14ac:dyDescent="0.25">
      <c r="A791">
        <v>880</v>
      </c>
      <c r="B791" t="s">
        <v>14</v>
      </c>
      <c r="C791" t="s">
        <v>16</v>
      </c>
      <c r="D791" s="6">
        <v>65.31</v>
      </c>
      <c r="E791">
        <v>529.09</v>
      </c>
      <c r="F791">
        <v>621.80999999999995</v>
      </c>
      <c r="G791">
        <v>176.77</v>
      </c>
      <c r="H791">
        <v>32.99</v>
      </c>
      <c r="I791" t="s">
        <v>22</v>
      </c>
      <c r="J791" s="1">
        <v>45806</v>
      </c>
      <c r="K791">
        <v>2025</v>
      </c>
    </row>
    <row r="792" spans="1:11" x14ac:dyDescent="0.25">
      <c r="A792">
        <v>882</v>
      </c>
      <c r="B792" t="s">
        <v>21</v>
      </c>
      <c r="C792" t="s">
        <v>19</v>
      </c>
      <c r="D792" s="6">
        <v>44.58</v>
      </c>
      <c r="E792">
        <v>428.5</v>
      </c>
      <c r="F792">
        <v>439.54</v>
      </c>
      <c r="G792">
        <v>127.54</v>
      </c>
      <c r="H792">
        <v>28.6</v>
      </c>
      <c r="I792" t="s">
        <v>13</v>
      </c>
      <c r="J792" s="1">
        <v>45808</v>
      </c>
      <c r="K792">
        <v>2025</v>
      </c>
    </row>
    <row r="793" spans="1:11" x14ac:dyDescent="0.25">
      <c r="A793">
        <v>883</v>
      </c>
      <c r="B793" t="s">
        <v>17</v>
      </c>
      <c r="C793" t="s">
        <v>12</v>
      </c>
      <c r="D793" s="6">
        <v>51.45</v>
      </c>
      <c r="E793">
        <v>544.20000000000005</v>
      </c>
      <c r="F793">
        <v>386.24</v>
      </c>
      <c r="G793">
        <v>212.39</v>
      </c>
      <c r="H793">
        <v>39.31</v>
      </c>
      <c r="I793" t="s">
        <v>22</v>
      </c>
      <c r="J793" s="1">
        <v>45809</v>
      </c>
      <c r="K793">
        <v>2025</v>
      </c>
    </row>
    <row r="794" spans="1:11" x14ac:dyDescent="0.25">
      <c r="A794">
        <v>884</v>
      </c>
      <c r="B794" t="s">
        <v>14</v>
      </c>
      <c r="C794" t="s">
        <v>34</v>
      </c>
      <c r="D794" s="6">
        <v>43.85</v>
      </c>
      <c r="E794">
        <v>456.96</v>
      </c>
      <c r="F794">
        <v>357</v>
      </c>
      <c r="G794">
        <v>280.06</v>
      </c>
      <c r="H794">
        <v>25.27</v>
      </c>
      <c r="I794" t="s">
        <v>18</v>
      </c>
      <c r="J794" s="1">
        <v>45810</v>
      </c>
      <c r="K794">
        <v>2025</v>
      </c>
    </row>
    <row r="795" spans="1:11" x14ac:dyDescent="0.25">
      <c r="A795">
        <v>885</v>
      </c>
      <c r="B795" t="s">
        <v>34</v>
      </c>
      <c r="C795" t="s">
        <v>19</v>
      </c>
      <c r="D795" s="6">
        <v>42.92</v>
      </c>
      <c r="E795">
        <v>538.04</v>
      </c>
      <c r="F795">
        <v>622</v>
      </c>
      <c r="G795">
        <v>190.08</v>
      </c>
      <c r="H795">
        <v>21.18</v>
      </c>
      <c r="I795" t="s">
        <v>13</v>
      </c>
      <c r="J795" s="1">
        <v>45811</v>
      </c>
      <c r="K795">
        <v>2025</v>
      </c>
    </row>
    <row r="796" spans="1:11" x14ac:dyDescent="0.25">
      <c r="A796">
        <v>886</v>
      </c>
      <c r="B796" t="s">
        <v>14</v>
      </c>
      <c r="C796" t="s">
        <v>16</v>
      </c>
      <c r="D796" s="6">
        <v>53.43</v>
      </c>
      <c r="E796">
        <v>480.92</v>
      </c>
      <c r="F796">
        <v>680.87</v>
      </c>
      <c r="G796">
        <v>155.91</v>
      </c>
      <c r="H796">
        <v>31.46</v>
      </c>
      <c r="I796" t="s">
        <v>22</v>
      </c>
      <c r="J796" s="1">
        <v>45812</v>
      </c>
      <c r="K796">
        <v>2025</v>
      </c>
    </row>
    <row r="797" spans="1:11" x14ac:dyDescent="0.25">
      <c r="A797">
        <v>887</v>
      </c>
      <c r="B797" t="s">
        <v>21</v>
      </c>
      <c r="C797" t="s">
        <v>12</v>
      </c>
      <c r="D797" s="6">
        <v>41.68</v>
      </c>
      <c r="E797">
        <v>506.75</v>
      </c>
      <c r="F797">
        <v>361.78</v>
      </c>
      <c r="G797">
        <v>209.34</v>
      </c>
      <c r="H797">
        <v>31.57</v>
      </c>
      <c r="I797" t="s">
        <v>22</v>
      </c>
      <c r="J797" s="1">
        <v>45813</v>
      </c>
      <c r="K797">
        <v>2025</v>
      </c>
    </row>
    <row r="798" spans="1:11" x14ac:dyDescent="0.25">
      <c r="A798">
        <v>888</v>
      </c>
      <c r="B798" t="s">
        <v>21</v>
      </c>
      <c r="C798" t="s">
        <v>16</v>
      </c>
      <c r="D798" s="6">
        <v>27.91</v>
      </c>
      <c r="E798">
        <v>544.51</v>
      </c>
      <c r="F798">
        <v>648.59</v>
      </c>
      <c r="G798">
        <v>229.46</v>
      </c>
      <c r="H798">
        <v>33.33</v>
      </c>
      <c r="I798" t="s">
        <v>22</v>
      </c>
      <c r="J798" s="1">
        <v>45814</v>
      </c>
      <c r="K798">
        <v>2025</v>
      </c>
    </row>
    <row r="799" spans="1:11" x14ac:dyDescent="0.25">
      <c r="A799">
        <v>889</v>
      </c>
      <c r="B799" t="s">
        <v>21</v>
      </c>
      <c r="C799" t="s">
        <v>20</v>
      </c>
      <c r="D799" s="6">
        <v>41.12</v>
      </c>
      <c r="E799">
        <v>465</v>
      </c>
      <c r="F799">
        <v>421.51</v>
      </c>
      <c r="G799">
        <v>192.18</v>
      </c>
      <c r="H799">
        <v>33.36</v>
      </c>
      <c r="I799" t="s">
        <v>13</v>
      </c>
      <c r="J799" s="1">
        <v>45815</v>
      </c>
      <c r="K799">
        <v>2025</v>
      </c>
    </row>
    <row r="800" spans="1:11" x14ac:dyDescent="0.25">
      <c r="A800">
        <v>890</v>
      </c>
      <c r="B800" t="s">
        <v>21</v>
      </c>
      <c r="C800" t="s">
        <v>15</v>
      </c>
      <c r="D800" s="6">
        <v>46.93</v>
      </c>
      <c r="E800">
        <v>400.4</v>
      </c>
      <c r="F800">
        <v>544.04</v>
      </c>
      <c r="G800">
        <v>270.18</v>
      </c>
      <c r="H800">
        <v>38.85</v>
      </c>
      <c r="I800" t="s">
        <v>34</v>
      </c>
      <c r="J800" s="1">
        <v>45816</v>
      </c>
      <c r="K800">
        <v>2025</v>
      </c>
    </row>
    <row r="801" spans="1:11" x14ac:dyDescent="0.25">
      <c r="A801">
        <v>893</v>
      </c>
      <c r="B801" t="s">
        <v>14</v>
      </c>
      <c r="C801" t="s">
        <v>20</v>
      </c>
      <c r="D801" s="6">
        <v>111.39</v>
      </c>
      <c r="E801">
        <v>511.62</v>
      </c>
      <c r="F801">
        <v>440.65</v>
      </c>
      <c r="G801">
        <v>214.8</v>
      </c>
      <c r="H801">
        <v>33.31</v>
      </c>
      <c r="I801" t="s">
        <v>34</v>
      </c>
      <c r="J801" s="1">
        <v>45819</v>
      </c>
      <c r="K801">
        <v>2025</v>
      </c>
    </row>
    <row r="802" spans="1:11" x14ac:dyDescent="0.25">
      <c r="A802">
        <v>894</v>
      </c>
      <c r="B802" t="s">
        <v>34</v>
      </c>
      <c r="C802" t="s">
        <v>12</v>
      </c>
      <c r="D802" s="6">
        <v>48.32</v>
      </c>
      <c r="E802">
        <v>415.51</v>
      </c>
      <c r="F802">
        <v>576.13</v>
      </c>
      <c r="G802">
        <v>219.65</v>
      </c>
      <c r="H802">
        <v>24.47</v>
      </c>
      <c r="I802" t="s">
        <v>34</v>
      </c>
      <c r="J802" s="1">
        <v>45820</v>
      </c>
      <c r="K802">
        <v>2025</v>
      </c>
    </row>
    <row r="803" spans="1:11" x14ac:dyDescent="0.25">
      <c r="A803">
        <v>895</v>
      </c>
      <c r="B803" t="s">
        <v>14</v>
      </c>
      <c r="C803" t="s">
        <v>16</v>
      </c>
      <c r="D803" s="6">
        <v>62.26</v>
      </c>
      <c r="E803">
        <v>540.16</v>
      </c>
      <c r="F803">
        <v>346.81</v>
      </c>
      <c r="G803">
        <v>202.36</v>
      </c>
      <c r="H803">
        <v>22.72</v>
      </c>
      <c r="I803" t="s">
        <v>22</v>
      </c>
      <c r="J803" s="1">
        <v>45821</v>
      </c>
      <c r="K803">
        <v>2025</v>
      </c>
    </row>
    <row r="804" spans="1:11" x14ac:dyDescent="0.25">
      <c r="A804">
        <v>896</v>
      </c>
      <c r="B804" t="s">
        <v>21</v>
      </c>
      <c r="C804" t="s">
        <v>34</v>
      </c>
      <c r="D804" s="6">
        <v>61.57</v>
      </c>
      <c r="E804">
        <v>546.83000000000004</v>
      </c>
      <c r="F804">
        <v>617.65</v>
      </c>
      <c r="G804">
        <v>136.08000000000001</v>
      </c>
      <c r="H804">
        <v>39.33</v>
      </c>
      <c r="I804" t="s">
        <v>34</v>
      </c>
      <c r="J804" s="1">
        <v>45822</v>
      </c>
      <c r="K804">
        <v>2025</v>
      </c>
    </row>
    <row r="805" spans="1:11" x14ac:dyDescent="0.25">
      <c r="A805">
        <v>897</v>
      </c>
      <c r="B805" t="s">
        <v>14</v>
      </c>
      <c r="C805" t="s">
        <v>20</v>
      </c>
      <c r="D805" s="6">
        <v>61.76</v>
      </c>
      <c r="E805">
        <v>552</v>
      </c>
      <c r="F805">
        <v>497.14</v>
      </c>
      <c r="G805">
        <v>316.89999999999998</v>
      </c>
      <c r="H805">
        <v>21.9</v>
      </c>
      <c r="I805" t="s">
        <v>13</v>
      </c>
      <c r="J805" s="1">
        <v>45823</v>
      </c>
      <c r="K805">
        <v>2025</v>
      </c>
    </row>
    <row r="806" spans="1:11" x14ac:dyDescent="0.25">
      <c r="A806">
        <v>899</v>
      </c>
      <c r="B806" t="s">
        <v>34</v>
      </c>
      <c r="C806" t="s">
        <v>20</v>
      </c>
      <c r="D806" s="6">
        <v>52.07</v>
      </c>
      <c r="E806">
        <v>431.76</v>
      </c>
      <c r="F806">
        <v>407.5</v>
      </c>
      <c r="G806">
        <v>205.51</v>
      </c>
      <c r="H806">
        <v>29.7</v>
      </c>
      <c r="I806" t="s">
        <v>22</v>
      </c>
      <c r="J806" s="1">
        <v>45825</v>
      </c>
      <c r="K806">
        <v>2025</v>
      </c>
    </row>
    <row r="807" spans="1:11" x14ac:dyDescent="0.25">
      <c r="A807">
        <v>900</v>
      </c>
      <c r="B807" t="s">
        <v>14</v>
      </c>
      <c r="C807" t="s">
        <v>34</v>
      </c>
      <c r="D807" s="6">
        <v>57.59</v>
      </c>
      <c r="E807">
        <v>432.32</v>
      </c>
      <c r="F807">
        <v>313.98</v>
      </c>
      <c r="G807">
        <v>230.84</v>
      </c>
      <c r="H807">
        <v>36.549999999999997</v>
      </c>
      <c r="I807" t="s">
        <v>18</v>
      </c>
      <c r="J807" s="1">
        <v>45826</v>
      </c>
      <c r="K807">
        <v>2025</v>
      </c>
    </row>
    <row r="808" spans="1:11" x14ac:dyDescent="0.25">
      <c r="A808">
        <v>901</v>
      </c>
      <c r="B808" t="s">
        <v>17</v>
      </c>
      <c r="C808" t="s">
        <v>16</v>
      </c>
      <c r="D808" s="6">
        <v>53.82</v>
      </c>
      <c r="E808">
        <v>463.94</v>
      </c>
      <c r="F808">
        <v>415.66</v>
      </c>
      <c r="G808">
        <v>168.17</v>
      </c>
      <c r="H808">
        <v>20.66</v>
      </c>
      <c r="I808" t="s">
        <v>13</v>
      </c>
      <c r="J808" s="1">
        <v>45827</v>
      </c>
      <c r="K808">
        <v>2025</v>
      </c>
    </row>
    <row r="809" spans="1:11" x14ac:dyDescent="0.25">
      <c r="A809">
        <v>902</v>
      </c>
      <c r="B809" t="s">
        <v>14</v>
      </c>
      <c r="C809" t="s">
        <v>16</v>
      </c>
      <c r="D809" s="6">
        <v>56.37</v>
      </c>
      <c r="E809">
        <v>553.89</v>
      </c>
      <c r="F809">
        <v>448.32</v>
      </c>
      <c r="G809">
        <v>202.85</v>
      </c>
      <c r="H809">
        <v>32.08</v>
      </c>
      <c r="I809" t="s">
        <v>13</v>
      </c>
      <c r="J809" s="1">
        <v>45828</v>
      </c>
      <c r="K809">
        <v>2025</v>
      </c>
    </row>
    <row r="810" spans="1:11" x14ac:dyDescent="0.25">
      <c r="A810">
        <v>903</v>
      </c>
      <c r="B810" t="s">
        <v>21</v>
      </c>
      <c r="C810" t="s">
        <v>19</v>
      </c>
      <c r="D810" s="6">
        <v>50.58</v>
      </c>
      <c r="E810">
        <v>529.62</v>
      </c>
      <c r="F810">
        <v>352.64</v>
      </c>
      <c r="G810">
        <v>166.14</v>
      </c>
      <c r="H810">
        <v>25.55</v>
      </c>
      <c r="I810" t="s">
        <v>13</v>
      </c>
      <c r="J810" s="1">
        <v>45829</v>
      </c>
      <c r="K810">
        <v>2025</v>
      </c>
    </row>
    <row r="811" spans="1:11" x14ac:dyDescent="0.25">
      <c r="A811">
        <v>904</v>
      </c>
      <c r="B811" t="s">
        <v>34</v>
      </c>
      <c r="C811" t="s">
        <v>20</v>
      </c>
      <c r="D811" s="6">
        <v>94.1</v>
      </c>
      <c r="E811">
        <v>537.52</v>
      </c>
      <c r="F811">
        <v>474.54</v>
      </c>
      <c r="G811">
        <v>220.78</v>
      </c>
      <c r="H811">
        <v>33.14</v>
      </c>
      <c r="I811" t="s">
        <v>34</v>
      </c>
      <c r="J811" s="1">
        <v>45830</v>
      </c>
      <c r="K811">
        <v>2025</v>
      </c>
    </row>
    <row r="812" spans="1:11" x14ac:dyDescent="0.25">
      <c r="A812">
        <v>905</v>
      </c>
      <c r="B812" t="s">
        <v>14</v>
      </c>
      <c r="C812" t="s">
        <v>16</v>
      </c>
      <c r="D812" s="6">
        <v>33.03</v>
      </c>
      <c r="E812">
        <v>635.4</v>
      </c>
      <c r="F812">
        <v>536.75</v>
      </c>
      <c r="G812">
        <v>186.2</v>
      </c>
      <c r="H812">
        <v>25.47</v>
      </c>
      <c r="I812" t="s">
        <v>34</v>
      </c>
      <c r="J812" s="1">
        <v>45831</v>
      </c>
      <c r="K812">
        <v>2025</v>
      </c>
    </row>
    <row r="813" spans="1:11" x14ac:dyDescent="0.25">
      <c r="A813">
        <v>906</v>
      </c>
      <c r="B813" t="s">
        <v>21</v>
      </c>
      <c r="C813" t="s">
        <v>34</v>
      </c>
      <c r="D813" s="6">
        <v>43.54</v>
      </c>
      <c r="E813">
        <v>568.89</v>
      </c>
      <c r="F813">
        <v>454.38</v>
      </c>
      <c r="G813">
        <v>213.44</v>
      </c>
      <c r="H813">
        <v>37.86</v>
      </c>
      <c r="I813" t="s">
        <v>22</v>
      </c>
      <c r="J813" s="1">
        <v>45832</v>
      </c>
      <c r="K813">
        <v>2025</v>
      </c>
    </row>
    <row r="814" spans="1:11" x14ac:dyDescent="0.25">
      <c r="A814">
        <v>907</v>
      </c>
      <c r="B814" t="s">
        <v>17</v>
      </c>
      <c r="C814" t="s">
        <v>12</v>
      </c>
      <c r="D814" s="6">
        <v>76.78</v>
      </c>
      <c r="E814">
        <v>485.82</v>
      </c>
      <c r="F814">
        <v>559.53</v>
      </c>
      <c r="G814">
        <v>147.66999999999999</v>
      </c>
      <c r="H814">
        <v>25.5</v>
      </c>
      <c r="I814" t="s">
        <v>34</v>
      </c>
      <c r="J814" s="1">
        <v>45833</v>
      </c>
      <c r="K814">
        <v>2025</v>
      </c>
    </row>
    <row r="815" spans="1:11" x14ac:dyDescent="0.25">
      <c r="A815">
        <v>908</v>
      </c>
      <c r="B815" t="s">
        <v>17</v>
      </c>
      <c r="C815" t="s">
        <v>15</v>
      </c>
      <c r="D815" s="6">
        <v>45.14</v>
      </c>
      <c r="E815">
        <v>381.61</v>
      </c>
      <c r="F815">
        <v>383.14</v>
      </c>
      <c r="G815">
        <v>158.55000000000001</v>
      </c>
      <c r="H815">
        <v>17.690000000000001</v>
      </c>
      <c r="I815" t="s">
        <v>34</v>
      </c>
      <c r="J815" s="1">
        <v>45834</v>
      </c>
      <c r="K815">
        <v>2025</v>
      </c>
    </row>
    <row r="816" spans="1:11" x14ac:dyDescent="0.25">
      <c r="A816">
        <v>909</v>
      </c>
      <c r="B816" t="s">
        <v>14</v>
      </c>
      <c r="C816" t="s">
        <v>15</v>
      </c>
      <c r="D816" s="6">
        <v>30.41</v>
      </c>
      <c r="E816">
        <v>428.55</v>
      </c>
      <c r="F816">
        <v>600.41</v>
      </c>
      <c r="G816">
        <v>131.74</v>
      </c>
      <c r="H816">
        <v>26.06</v>
      </c>
      <c r="I816" t="s">
        <v>34</v>
      </c>
      <c r="J816" s="1">
        <v>45835</v>
      </c>
      <c r="K816">
        <v>2025</v>
      </c>
    </row>
    <row r="817" spans="1:11" x14ac:dyDescent="0.25">
      <c r="A817">
        <v>910</v>
      </c>
      <c r="B817" t="s">
        <v>14</v>
      </c>
      <c r="C817" t="s">
        <v>15</v>
      </c>
      <c r="D817" s="6">
        <v>57.33</v>
      </c>
      <c r="E817">
        <v>473.83</v>
      </c>
      <c r="F817">
        <v>494.62</v>
      </c>
      <c r="G817">
        <v>164.47</v>
      </c>
      <c r="H817">
        <v>28.69</v>
      </c>
      <c r="I817" t="s">
        <v>22</v>
      </c>
      <c r="J817" s="1">
        <v>45836</v>
      </c>
      <c r="K817">
        <v>2025</v>
      </c>
    </row>
    <row r="818" spans="1:11" x14ac:dyDescent="0.25">
      <c r="A818">
        <v>911</v>
      </c>
      <c r="B818" t="s">
        <v>14</v>
      </c>
      <c r="C818" t="s">
        <v>20</v>
      </c>
      <c r="D818" s="6">
        <v>58.55</v>
      </c>
      <c r="E818">
        <v>582.91</v>
      </c>
      <c r="F818">
        <v>665.43</v>
      </c>
      <c r="G818">
        <v>71.319999999999993</v>
      </c>
      <c r="H818">
        <v>35.409999999999997</v>
      </c>
      <c r="I818" t="s">
        <v>22</v>
      </c>
      <c r="J818" s="1">
        <v>45837</v>
      </c>
      <c r="K818">
        <v>2025</v>
      </c>
    </row>
    <row r="819" spans="1:11" x14ac:dyDescent="0.25">
      <c r="A819">
        <v>912</v>
      </c>
      <c r="B819" t="s">
        <v>21</v>
      </c>
      <c r="C819" t="s">
        <v>19</v>
      </c>
      <c r="D819" s="6">
        <v>62.87</v>
      </c>
      <c r="E819">
        <v>497.27</v>
      </c>
      <c r="F819">
        <v>769.71</v>
      </c>
      <c r="G819">
        <v>184.64</v>
      </c>
      <c r="H819">
        <v>23.71</v>
      </c>
      <c r="I819" t="s">
        <v>13</v>
      </c>
      <c r="J819" s="1">
        <v>45838</v>
      </c>
      <c r="K819">
        <v>2025</v>
      </c>
    </row>
    <row r="820" spans="1:11" x14ac:dyDescent="0.25">
      <c r="A820">
        <v>913</v>
      </c>
      <c r="B820" t="s">
        <v>14</v>
      </c>
      <c r="C820" t="s">
        <v>16</v>
      </c>
      <c r="D820" s="6">
        <v>142.59</v>
      </c>
      <c r="E820">
        <v>434.38</v>
      </c>
      <c r="F820">
        <v>423.57</v>
      </c>
      <c r="G820">
        <v>173.29</v>
      </c>
      <c r="H820">
        <v>23.81</v>
      </c>
      <c r="I820" t="s">
        <v>13</v>
      </c>
      <c r="J820" s="1">
        <v>45839</v>
      </c>
      <c r="K820">
        <v>2025</v>
      </c>
    </row>
    <row r="821" spans="1:11" x14ac:dyDescent="0.25">
      <c r="A821">
        <v>914</v>
      </c>
      <c r="B821" t="s">
        <v>17</v>
      </c>
      <c r="C821" t="s">
        <v>12</v>
      </c>
      <c r="D821" s="6">
        <v>58.46</v>
      </c>
      <c r="E821">
        <v>426.71</v>
      </c>
      <c r="F821">
        <v>428.51</v>
      </c>
      <c r="G821">
        <v>207.55</v>
      </c>
      <c r="H821">
        <v>34.799999999999997</v>
      </c>
      <c r="I821" t="s">
        <v>13</v>
      </c>
      <c r="J821" s="1">
        <v>45840</v>
      </c>
      <c r="K821">
        <v>2025</v>
      </c>
    </row>
    <row r="822" spans="1:11" x14ac:dyDescent="0.25">
      <c r="A822">
        <v>915</v>
      </c>
      <c r="B822" t="s">
        <v>34</v>
      </c>
      <c r="C822" t="s">
        <v>34</v>
      </c>
      <c r="D822" s="6">
        <v>68.400000000000006</v>
      </c>
      <c r="E822">
        <v>493.04</v>
      </c>
      <c r="F822">
        <v>450.45</v>
      </c>
      <c r="G822">
        <v>202.23</v>
      </c>
      <c r="H822">
        <v>23.12</v>
      </c>
      <c r="I822" t="s">
        <v>13</v>
      </c>
      <c r="J822" s="1">
        <v>45841</v>
      </c>
      <c r="K822">
        <v>2025</v>
      </c>
    </row>
    <row r="823" spans="1:11" x14ac:dyDescent="0.25">
      <c r="A823">
        <v>916</v>
      </c>
      <c r="B823" t="s">
        <v>14</v>
      </c>
      <c r="C823" t="s">
        <v>12</v>
      </c>
      <c r="D823" s="6">
        <v>42.55</v>
      </c>
      <c r="E823">
        <v>589</v>
      </c>
      <c r="F823">
        <v>551.48</v>
      </c>
      <c r="G823">
        <v>262.85000000000002</v>
      </c>
      <c r="H823">
        <v>29.11</v>
      </c>
      <c r="I823" t="s">
        <v>13</v>
      </c>
      <c r="J823" s="1">
        <v>45842</v>
      </c>
      <c r="K823">
        <v>2025</v>
      </c>
    </row>
    <row r="824" spans="1:11" x14ac:dyDescent="0.25">
      <c r="A824">
        <v>917</v>
      </c>
      <c r="B824" t="s">
        <v>14</v>
      </c>
      <c r="C824" t="s">
        <v>34</v>
      </c>
      <c r="D824" s="6">
        <v>40.56</v>
      </c>
      <c r="E824">
        <v>659.1</v>
      </c>
      <c r="F824">
        <v>639.12</v>
      </c>
      <c r="G824">
        <v>329.72</v>
      </c>
      <c r="H824">
        <v>29.21</v>
      </c>
      <c r="I824" t="s">
        <v>13</v>
      </c>
      <c r="J824" s="1">
        <v>45843</v>
      </c>
      <c r="K824">
        <v>2025</v>
      </c>
    </row>
    <row r="825" spans="1:11" x14ac:dyDescent="0.25">
      <c r="A825">
        <v>919</v>
      </c>
      <c r="B825" t="s">
        <v>21</v>
      </c>
      <c r="C825" t="s">
        <v>15</v>
      </c>
      <c r="D825" s="6">
        <v>47.34</v>
      </c>
      <c r="E825">
        <v>495.53</v>
      </c>
      <c r="F825">
        <v>525.75</v>
      </c>
      <c r="G825">
        <v>177.34</v>
      </c>
      <c r="H825">
        <v>26.25</v>
      </c>
      <c r="I825" t="s">
        <v>13</v>
      </c>
      <c r="J825" s="1">
        <v>45845</v>
      </c>
      <c r="K825">
        <v>2025</v>
      </c>
    </row>
    <row r="826" spans="1:11" x14ac:dyDescent="0.25">
      <c r="A826">
        <v>920</v>
      </c>
      <c r="B826" t="s">
        <v>11</v>
      </c>
      <c r="C826" t="s">
        <v>20</v>
      </c>
      <c r="D826" s="6">
        <v>64.33</v>
      </c>
      <c r="E826">
        <v>378.61</v>
      </c>
      <c r="F826">
        <v>463.69</v>
      </c>
      <c r="G826">
        <v>175.33</v>
      </c>
      <c r="H826">
        <v>25.37</v>
      </c>
      <c r="I826" t="s">
        <v>18</v>
      </c>
      <c r="J826" s="1">
        <v>45846</v>
      </c>
      <c r="K826">
        <v>2025</v>
      </c>
    </row>
    <row r="827" spans="1:11" x14ac:dyDescent="0.25">
      <c r="A827">
        <v>921</v>
      </c>
      <c r="B827" t="s">
        <v>14</v>
      </c>
      <c r="C827" t="s">
        <v>19</v>
      </c>
      <c r="D827" s="6">
        <v>55.28</v>
      </c>
      <c r="E827">
        <v>693.92</v>
      </c>
      <c r="F827">
        <v>554.16999999999996</v>
      </c>
      <c r="G827">
        <v>243.43</v>
      </c>
      <c r="H827">
        <v>31.67</v>
      </c>
      <c r="I827" t="s">
        <v>13</v>
      </c>
      <c r="J827" s="1">
        <v>45847</v>
      </c>
      <c r="K827">
        <v>2025</v>
      </c>
    </row>
    <row r="828" spans="1:11" x14ac:dyDescent="0.25">
      <c r="A828">
        <v>922</v>
      </c>
      <c r="B828" t="s">
        <v>14</v>
      </c>
      <c r="C828" t="s">
        <v>19</v>
      </c>
      <c r="D828" s="6">
        <v>54.89</v>
      </c>
      <c r="E828">
        <v>359.9</v>
      </c>
      <c r="F828">
        <v>661.13</v>
      </c>
      <c r="G828">
        <v>115.83</v>
      </c>
      <c r="H828">
        <v>25.52</v>
      </c>
      <c r="I828" t="s">
        <v>18</v>
      </c>
      <c r="J828" s="1">
        <v>45848</v>
      </c>
      <c r="K828">
        <v>2025</v>
      </c>
    </row>
    <row r="829" spans="1:11" x14ac:dyDescent="0.25">
      <c r="A829">
        <v>923</v>
      </c>
      <c r="B829" t="s">
        <v>34</v>
      </c>
      <c r="C829" t="s">
        <v>34</v>
      </c>
      <c r="D829" s="6">
        <v>31.81</v>
      </c>
      <c r="E829">
        <v>617.16999999999996</v>
      </c>
      <c r="F829">
        <v>451.16</v>
      </c>
      <c r="G829">
        <v>184.24</v>
      </c>
      <c r="H829">
        <v>23.2</v>
      </c>
      <c r="I829" t="s">
        <v>18</v>
      </c>
      <c r="J829" s="1">
        <v>45849</v>
      </c>
      <c r="K829">
        <v>2025</v>
      </c>
    </row>
    <row r="830" spans="1:11" x14ac:dyDescent="0.25">
      <c r="A830">
        <v>924</v>
      </c>
      <c r="B830" t="s">
        <v>14</v>
      </c>
      <c r="C830" t="s">
        <v>16</v>
      </c>
      <c r="D830" s="6">
        <v>43.07</v>
      </c>
      <c r="E830">
        <v>463.47</v>
      </c>
      <c r="F830">
        <v>279.62</v>
      </c>
      <c r="G830">
        <v>188.09</v>
      </c>
      <c r="H830">
        <v>36.14</v>
      </c>
      <c r="I830" t="s">
        <v>34</v>
      </c>
      <c r="J830" s="1">
        <v>45850</v>
      </c>
      <c r="K830">
        <v>2025</v>
      </c>
    </row>
    <row r="831" spans="1:11" x14ac:dyDescent="0.25">
      <c r="A831">
        <v>925</v>
      </c>
      <c r="B831" t="s">
        <v>21</v>
      </c>
      <c r="C831" t="s">
        <v>16</v>
      </c>
      <c r="D831" s="6">
        <v>31.64</v>
      </c>
      <c r="E831">
        <v>440.06</v>
      </c>
      <c r="F831">
        <v>569.27</v>
      </c>
      <c r="G831">
        <v>229.21</v>
      </c>
      <c r="H831">
        <v>32.44</v>
      </c>
      <c r="I831" t="s">
        <v>22</v>
      </c>
      <c r="J831" s="1">
        <v>45851</v>
      </c>
      <c r="K831">
        <v>2025</v>
      </c>
    </row>
    <row r="832" spans="1:11" x14ac:dyDescent="0.25">
      <c r="A832">
        <v>926</v>
      </c>
      <c r="B832" t="s">
        <v>17</v>
      </c>
      <c r="C832" t="s">
        <v>34</v>
      </c>
      <c r="D832" s="6">
        <v>61.71</v>
      </c>
      <c r="E832">
        <v>389</v>
      </c>
      <c r="F832">
        <v>380.08</v>
      </c>
      <c r="G832">
        <v>230.69</v>
      </c>
      <c r="H832">
        <v>38.840000000000003</v>
      </c>
      <c r="I832" t="s">
        <v>13</v>
      </c>
      <c r="J832" s="1">
        <v>45852</v>
      </c>
      <c r="K832">
        <v>2025</v>
      </c>
    </row>
    <row r="833" spans="1:11" x14ac:dyDescent="0.25">
      <c r="A833">
        <v>927</v>
      </c>
      <c r="B833" t="s">
        <v>14</v>
      </c>
      <c r="C833" t="s">
        <v>19</v>
      </c>
      <c r="D833" s="6">
        <v>65.86</v>
      </c>
      <c r="E833">
        <v>741</v>
      </c>
      <c r="F833">
        <v>462.83</v>
      </c>
      <c r="G833">
        <v>162.77000000000001</v>
      </c>
      <c r="H833">
        <v>33.92</v>
      </c>
      <c r="I833" t="s">
        <v>13</v>
      </c>
      <c r="J833" s="1">
        <v>45853</v>
      </c>
      <c r="K833">
        <v>2025</v>
      </c>
    </row>
    <row r="834" spans="1:11" x14ac:dyDescent="0.25">
      <c r="A834">
        <v>928</v>
      </c>
      <c r="B834" t="s">
        <v>34</v>
      </c>
      <c r="C834" t="s">
        <v>19</v>
      </c>
      <c r="D834" s="6">
        <v>57.8</v>
      </c>
      <c r="E834">
        <v>522.15</v>
      </c>
      <c r="F834">
        <v>574.44000000000005</v>
      </c>
      <c r="G834">
        <v>179.28</v>
      </c>
      <c r="H834">
        <v>23.66</v>
      </c>
      <c r="I834" t="s">
        <v>13</v>
      </c>
      <c r="J834" s="1">
        <v>45854</v>
      </c>
      <c r="K834">
        <v>2025</v>
      </c>
    </row>
    <row r="835" spans="1:11" x14ac:dyDescent="0.25">
      <c r="A835">
        <v>929</v>
      </c>
      <c r="B835" t="s">
        <v>14</v>
      </c>
      <c r="C835" t="s">
        <v>19</v>
      </c>
      <c r="D835" s="6">
        <v>40.130000000000003</v>
      </c>
      <c r="E835">
        <v>502.13</v>
      </c>
      <c r="F835">
        <v>515.69000000000005</v>
      </c>
      <c r="G835">
        <v>222.26</v>
      </c>
      <c r="H835">
        <v>30.48</v>
      </c>
      <c r="I835" t="s">
        <v>22</v>
      </c>
      <c r="J835" s="1">
        <v>45855</v>
      </c>
      <c r="K835">
        <v>2025</v>
      </c>
    </row>
    <row r="836" spans="1:11" x14ac:dyDescent="0.25">
      <c r="A836">
        <v>930</v>
      </c>
      <c r="B836" t="s">
        <v>14</v>
      </c>
      <c r="C836" t="s">
        <v>34</v>
      </c>
      <c r="D836" s="6">
        <v>64.819999999999993</v>
      </c>
      <c r="E836">
        <v>588.66999999999996</v>
      </c>
      <c r="F836">
        <v>467.79</v>
      </c>
      <c r="G836">
        <v>160.05000000000001</v>
      </c>
      <c r="H836">
        <v>24.92</v>
      </c>
      <c r="I836" t="s">
        <v>13</v>
      </c>
      <c r="J836" s="1">
        <v>45856</v>
      </c>
      <c r="K836">
        <v>2025</v>
      </c>
    </row>
    <row r="837" spans="1:11" x14ac:dyDescent="0.25">
      <c r="A837">
        <v>931</v>
      </c>
      <c r="B837" t="s">
        <v>14</v>
      </c>
      <c r="C837" t="s">
        <v>19</v>
      </c>
      <c r="D837" s="6">
        <v>47.47</v>
      </c>
      <c r="E837">
        <v>434.92</v>
      </c>
      <c r="F837">
        <v>410.89</v>
      </c>
      <c r="G837">
        <v>260.31</v>
      </c>
      <c r="H837">
        <v>21.74</v>
      </c>
      <c r="I837" t="s">
        <v>13</v>
      </c>
      <c r="J837" s="1">
        <v>45857</v>
      </c>
      <c r="K837">
        <v>2025</v>
      </c>
    </row>
    <row r="838" spans="1:11" x14ac:dyDescent="0.25">
      <c r="A838">
        <v>932</v>
      </c>
      <c r="B838" t="s">
        <v>21</v>
      </c>
      <c r="C838" t="s">
        <v>12</v>
      </c>
      <c r="D838" s="6">
        <v>37.86</v>
      </c>
      <c r="E838">
        <v>500.18</v>
      </c>
      <c r="F838">
        <v>132.01</v>
      </c>
      <c r="G838">
        <v>230.46</v>
      </c>
      <c r="H838">
        <v>27.76</v>
      </c>
      <c r="I838" t="s">
        <v>13</v>
      </c>
      <c r="J838" s="1">
        <v>45858</v>
      </c>
      <c r="K838">
        <v>2025</v>
      </c>
    </row>
    <row r="839" spans="1:11" x14ac:dyDescent="0.25">
      <c r="A839">
        <v>934</v>
      </c>
      <c r="B839" t="s">
        <v>17</v>
      </c>
      <c r="C839" t="s">
        <v>19</v>
      </c>
      <c r="D839" s="6">
        <v>45.7</v>
      </c>
      <c r="E839">
        <v>448.79</v>
      </c>
      <c r="F839">
        <v>449.65</v>
      </c>
      <c r="G839">
        <v>219.55</v>
      </c>
      <c r="H839">
        <v>31.37</v>
      </c>
      <c r="I839" t="s">
        <v>18</v>
      </c>
      <c r="J839" s="1">
        <v>45860</v>
      </c>
      <c r="K839">
        <v>2025</v>
      </c>
    </row>
    <row r="840" spans="1:11" x14ac:dyDescent="0.25">
      <c r="A840">
        <v>935</v>
      </c>
      <c r="B840" t="s">
        <v>14</v>
      </c>
      <c r="C840" t="s">
        <v>34</v>
      </c>
      <c r="D840" s="6">
        <v>50.5</v>
      </c>
      <c r="E840">
        <v>619.96</v>
      </c>
      <c r="F840">
        <v>661.6</v>
      </c>
      <c r="G840">
        <v>176.66</v>
      </c>
      <c r="H840">
        <v>23.05</v>
      </c>
      <c r="I840" t="s">
        <v>13</v>
      </c>
      <c r="J840" s="1">
        <v>45861</v>
      </c>
      <c r="K840">
        <v>2025</v>
      </c>
    </row>
    <row r="841" spans="1:11" x14ac:dyDescent="0.25">
      <c r="A841">
        <v>936</v>
      </c>
      <c r="B841" t="s">
        <v>14</v>
      </c>
      <c r="C841" t="s">
        <v>15</v>
      </c>
      <c r="D841" s="6">
        <v>48.39</v>
      </c>
      <c r="E841">
        <v>478.13</v>
      </c>
      <c r="F841">
        <v>527.76</v>
      </c>
      <c r="G841">
        <v>168.69</v>
      </c>
      <c r="H841">
        <v>27.59</v>
      </c>
      <c r="I841" t="s">
        <v>13</v>
      </c>
      <c r="J841" s="1">
        <v>45862</v>
      </c>
      <c r="K841">
        <v>2025</v>
      </c>
    </row>
    <row r="842" spans="1:11" x14ac:dyDescent="0.25">
      <c r="A842">
        <v>937</v>
      </c>
      <c r="B842" t="s">
        <v>21</v>
      </c>
      <c r="C842" t="s">
        <v>20</v>
      </c>
      <c r="D842" s="6">
        <v>35.869999999999997</v>
      </c>
      <c r="E842">
        <v>344.69</v>
      </c>
      <c r="F842">
        <v>415.06</v>
      </c>
      <c r="G842">
        <v>178.76</v>
      </c>
      <c r="H842">
        <v>29.29</v>
      </c>
      <c r="I842" t="s">
        <v>22</v>
      </c>
      <c r="J842" s="1">
        <v>45863</v>
      </c>
      <c r="K842">
        <v>2025</v>
      </c>
    </row>
    <row r="843" spans="1:11" x14ac:dyDescent="0.25">
      <c r="A843">
        <v>938</v>
      </c>
      <c r="B843" t="s">
        <v>14</v>
      </c>
      <c r="C843" t="s">
        <v>34</v>
      </c>
      <c r="D843" s="6">
        <v>62.13</v>
      </c>
      <c r="E843">
        <v>469.85</v>
      </c>
      <c r="F843">
        <v>608.02</v>
      </c>
      <c r="G843">
        <v>225</v>
      </c>
      <c r="H843">
        <v>21.55</v>
      </c>
      <c r="I843" t="s">
        <v>34</v>
      </c>
      <c r="J843" s="1">
        <v>45864</v>
      </c>
      <c r="K843">
        <v>2025</v>
      </c>
    </row>
    <row r="844" spans="1:11" x14ac:dyDescent="0.25">
      <c r="A844">
        <v>939</v>
      </c>
      <c r="B844" t="s">
        <v>21</v>
      </c>
      <c r="C844" t="s">
        <v>15</v>
      </c>
      <c r="D844" s="6">
        <v>48.49</v>
      </c>
      <c r="E844">
        <v>524.91999999999996</v>
      </c>
      <c r="F844">
        <v>618.14</v>
      </c>
      <c r="G844">
        <v>210.05</v>
      </c>
      <c r="H844">
        <v>33.57</v>
      </c>
      <c r="I844" t="s">
        <v>13</v>
      </c>
      <c r="J844" s="1">
        <v>45865</v>
      </c>
      <c r="K844">
        <v>2025</v>
      </c>
    </row>
    <row r="845" spans="1:11" x14ac:dyDescent="0.25">
      <c r="A845">
        <v>940</v>
      </c>
      <c r="B845" t="s">
        <v>14</v>
      </c>
      <c r="C845" t="s">
        <v>34</v>
      </c>
      <c r="D845" s="6">
        <v>42.86</v>
      </c>
      <c r="E845">
        <v>410.65</v>
      </c>
      <c r="F845">
        <v>453.72</v>
      </c>
      <c r="G845">
        <v>178.86</v>
      </c>
      <c r="H845">
        <v>28.86</v>
      </c>
      <c r="I845" t="s">
        <v>34</v>
      </c>
      <c r="J845" s="1">
        <v>45866</v>
      </c>
      <c r="K845">
        <v>2025</v>
      </c>
    </row>
    <row r="846" spans="1:11" x14ac:dyDescent="0.25">
      <c r="A846">
        <v>941</v>
      </c>
      <c r="B846" t="s">
        <v>17</v>
      </c>
      <c r="C846" t="s">
        <v>34</v>
      </c>
      <c r="D846" s="6">
        <v>85.55</v>
      </c>
      <c r="E846">
        <v>418.54</v>
      </c>
      <c r="F846">
        <v>623.24</v>
      </c>
      <c r="G846">
        <v>237.48</v>
      </c>
      <c r="H846">
        <v>23.05</v>
      </c>
      <c r="I846" t="s">
        <v>18</v>
      </c>
      <c r="J846" s="1">
        <v>45867</v>
      </c>
      <c r="K846">
        <v>2025</v>
      </c>
    </row>
    <row r="847" spans="1:11" x14ac:dyDescent="0.25">
      <c r="A847">
        <v>942</v>
      </c>
      <c r="B847" t="s">
        <v>14</v>
      </c>
      <c r="C847" t="s">
        <v>12</v>
      </c>
      <c r="D847" s="6">
        <v>38.17</v>
      </c>
      <c r="E847">
        <v>445.37</v>
      </c>
      <c r="F847">
        <v>413.36</v>
      </c>
      <c r="G847">
        <v>191.3</v>
      </c>
      <c r="H847">
        <v>22.76</v>
      </c>
      <c r="I847" t="s">
        <v>13</v>
      </c>
      <c r="J847" s="1">
        <v>45868</v>
      </c>
      <c r="K847">
        <v>2025</v>
      </c>
    </row>
    <row r="848" spans="1:11" x14ac:dyDescent="0.25">
      <c r="A848">
        <v>943</v>
      </c>
      <c r="B848" t="s">
        <v>14</v>
      </c>
      <c r="C848" t="s">
        <v>20</v>
      </c>
      <c r="D848" s="6">
        <v>33.71</v>
      </c>
      <c r="E848">
        <v>622.12</v>
      </c>
      <c r="F848">
        <v>499.16</v>
      </c>
      <c r="G848">
        <v>165.33</v>
      </c>
      <c r="H848">
        <v>35.5</v>
      </c>
      <c r="I848" t="s">
        <v>13</v>
      </c>
      <c r="J848" s="1">
        <v>45869</v>
      </c>
      <c r="K848">
        <v>2025</v>
      </c>
    </row>
    <row r="849" spans="1:11" x14ac:dyDescent="0.25">
      <c r="A849">
        <v>944</v>
      </c>
      <c r="B849" t="s">
        <v>11</v>
      </c>
      <c r="C849" t="s">
        <v>20</v>
      </c>
      <c r="D849" s="6">
        <v>62.72</v>
      </c>
      <c r="E849">
        <v>451.28</v>
      </c>
      <c r="F849">
        <v>548.57000000000005</v>
      </c>
      <c r="G849">
        <v>212.72</v>
      </c>
      <c r="H849">
        <v>28.1</v>
      </c>
      <c r="I849" t="s">
        <v>22</v>
      </c>
      <c r="J849" s="1">
        <v>45870</v>
      </c>
      <c r="K849">
        <v>2025</v>
      </c>
    </row>
    <row r="850" spans="1:11" x14ac:dyDescent="0.25">
      <c r="A850">
        <v>945</v>
      </c>
      <c r="B850" t="s">
        <v>21</v>
      </c>
      <c r="C850" t="s">
        <v>34</v>
      </c>
      <c r="D850" s="6">
        <v>68.91</v>
      </c>
      <c r="E850">
        <v>642.91</v>
      </c>
      <c r="F850">
        <v>574.16999999999996</v>
      </c>
      <c r="G850">
        <v>149.35</v>
      </c>
      <c r="H850">
        <v>35.950000000000003</v>
      </c>
      <c r="I850" t="s">
        <v>18</v>
      </c>
      <c r="J850" s="1">
        <v>45871</v>
      </c>
      <c r="K850">
        <v>2025</v>
      </c>
    </row>
    <row r="851" spans="1:11" x14ac:dyDescent="0.25">
      <c r="A851">
        <v>946</v>
      </c>
      <c r="B851" t="s">
        <v>14</v>
      </c>
      <c r="C851" t="s">
        <v>16</v>
      </c>
      <c r="D851" s="6">
        <v>45.38</v>
      </c>
      <c r="E851">
        <v>438.5</v>
      </c>
      <c r="F851">
        <v>554.58000000000004</v>
      </c>
      <c r="G851">
        <v>115.64</v>
      </c>
      <c r="H851">
        <v>37.86</v>
      </c>
      <c r="I851" t="s">
        <v>18</v>
      </c>
      <c r="J851" s="1">
        <v>45872</v>
      </c>
      <c r="K851">
        <v>2025</v>
      </c>
    </row>
    <row r="852" spans="1:11" x14ac:dyDescent="0.25">
      <c r="A852">
        <v>947</v>
      </c>
      <c r="B852" t="s">
        <v>14</v>
      </c>
      <c r="C852" t="s">
        <v>19</v>
      </c>
      <c r="D852" s="6">
        <v>49.54</v>
      </c>
      <c r="E852">
        <v>532.5</v>
      </c>
      <c r="F852">
        <v>440.08</v>
      </c>
      <c r="G852">
        <v>199.74</v>
      </c>
      <c r="H852">
        <v>35.11</v>
      </c>
      <c r="I852" t="s">
        <v>34</v>
      </c>
      <c r="J852" s="1">
        <v>45873</v>
      </c>
      <c r="K852">
        <v>2025</v>
      </c>
    </row>
    <row r="853" spans="1:11" x14ac:dyDescent="0.25">
      <c r="A853">
        <v>948</v>
      </c>
      <c r="B853" t="s">
        <v>21</v>
      </c>
      <c r="C853" t="s">
        <v>19</v>
      </c>
      <c r="D853" s="6">
        <v>38.53</v>
      </c>
      <c r="E853">
        <v>455.38</v>
      </c>
      <c r="F853">
        <v>611.24</v>
      </c>
      <c r="G853">
        <v>167.13</v>
      </c>
      <c r="H853">
        <v>27.33</v>
      </c>
      <c r="I853" t="s">
        <v>18</v>
      </c>
      <c r="J853" s="1">
        <v>45874</v>
      </c>
      <c r="K853">
        <v>2025</v>
      </c>
    </row>
    <row r="854" spans="1:11" x14ac:dyDescent="0.25">
      <c r="A854">
        <v>949</v>
      </c>
      <c r="B854" t="s">
        <v>11</v>
      </c>
      <c r="C854" t="s">
        <v>12</v>
      </c>
      <c r="D854" s="6">
        <v>50.05</v>
      </c>
      <c r="E854">
        <v>575.41</v>
      </c>
      <c r="F854">
        <v>465.07</v>
      </c>
      <c r="G854">
        <v>187.29</v>
      </c>
      <c r="H854">
        <v>17.510000000000002</v>
      </c>
      <c r="I854" t="s">
        <v>13</v>
      </c>
      <c r="J854" s="1">
        <v>45875</v>
      </c>
      <c r="K854">
        <v>2025</v>
      </c>
    </row>
    <row r="855" spans="1:11" x14ac:dyDescent="0.25">
      <c r="A855">
        <v>950</v>
      </c>
      <c r="B855" t="s">
        <v>34</v>
      </c>
      <c r="C855" t="s">
        <v>12</v>
      </c>
      <c r="D855" s="6">
        <v>86.2</v>
      </c>
      <c r="E855">
        <v>388.17</v>
      </c>
      <c r="F855">
        <v>411.72</v>
      </c>
      <c r="G855">
        <v>151.66</v>
      </c>
      <c r="H855">
        <v>31.56</v>
      </c>
      <c r="I855" t="s">
        <v>34</v>
      </c>
      <c r="J855" s="1">
        <v>45876</v>
      </c>
      <c r="K855">
        <v>2025</v>
      </c>
    </row>
    <row r="856" spans="1:11" x14ac:dyDescent="0.25">
      <c r="A856">
        <v>951</v>
      </c>
      <c r="B856" t="s">
        <v>34</v>
      </c>
      <c r="C856" t="s">
        <v>19</v>
      </c>
      <c r="D856" s="6">
        <v>48.98</v>
      </c>
      <c r="E856">
        <v>574.29</v>
      </c>
      <c r="F856">
        <v>413.48</v>
      </c>
      <c r="G856">
        <v>260.45</v>
      </c>
      <c r="H856">
        <v>40.46</v>
      </c>
      <c r="I856" t="s">
        <v>18</v>
      </c>
      <c r="J856" s="1">
        <v>45877</v>
      </c>
      <c r="K856">
        <v>2025</v>
      </c>
    </row>
    <row r="857" spans="1:11" x14ac:dyDescent="0.25">
      <c r="A857">
        <v>952</v>
      </c>
      <c r="B857" t="s">
        <v>21</v>
      </c>
      <c r="C857" t="s">
        <v>16</v>
      </c>
      <c r="D857" s="6">
        <v>54.09</v>
      </c>
      <c r="E857">
        <v>511.39</v>
      </c>
      <c r="F857">
        <v>712.8</v>
      </c>
      <c r="G857">
        <v>166.93</v>
      </c>
      <c r="H857">
        <v>29.82</v>
      </c>
      <c r="I857" t="s">
        <v>22</v>
      </c>
      <c r="J857" s="1">
        <v>45878</v>
      </c>
      <c r="K857">
        <v>2025</v>
      </c>
    </row>
    <row r="858" spans="1:11" x14ac:dyDescent="0.25">
      <c r="A858">
        <v>953</v>
      </c>
      <c r="B858" t="s">
        <v>21</v>
      </c>
      <c r="C858" t="s">
        <v>19</v>
      </c>
      <c r="D858" s="6">
        <v>39.020000000000003</v>
      </c>
      <c r="E858">
        <v>436</v>
      </c>
      <c r="F858">
        <v>390.96</v>
      </c>
      <c r="G858">
        <v>178.4</v>
      </c>
      <c r="H858">
        <v>20.05</v>
      </c>
      <c r="I858" t="s">
        <v>13</v>
      </c>
    </row>
    <row r="859" spans="1:11" x14ac:dyDescent="0.25">
      <c r="A859">
        <v>954</v>
      </c>
      <c r="B859" t="s">
        <v>21</v>
      </c>
      <c r="C859" t="s">
        <v>16</v>
      </c>
      <c r="D859" s="6">
        <v>46.38</v>
      </c>
      <c r="E859">
        <v>483.38</v>
      </c>
      <c r="F859">
        <v>635</v>
      </c>
      <c r="G859">
        <v>218.89</v>
      </c>
      <c r="H859">
        <v>26.63</v>
      </c>
      <c r="I859" t="s">
        <v>22</v>
      </c>
      <c r="J859" s="1">
        <v>45880</v>
      </c>
      <c r="K859">
        <v>2025</v>
      </c>
    </row>
    <row r="860" spans="1:11" x14ac:dyDescent="0.25">
      <c r="A860">
        <v>955</v>
      </c>
      <c r="B860" t="s">
        <v>21</v>
      </c>
      <c r="C860" t="s">
        <v>12</v>
      </c>
      <c r="D860" s="6">
        <v>31.96</v>
      </c>
      <c r="E860">
        <v>653.39</v>
      </c>
      <c r="F860">
        <v>343.74</v>
      </c>
      <c r="G860">
        <v>131.16999999999999</v>
      </c>
      <c r="H860">
        <v>29.08</v>
      </c>
      <c r="I860" t="s">
        <v>22</v>
      </c>
      <c r="J860" s="1">
        <v>45881</v>
      </c>
      <c r="K860">
        <v>2025</v>
      </c>
    </row>
    <row r="861" spans="1:11" x14ac:dyDescent="0.25">
      <c r="A861">
        <v>956</v>
      </c>
      <c r="B861" t="s">
        <v>21</v>
      </c>
      <c r="C861" t="s">
        <v>15</v>
      </c>
      <c r="D861" s="6">
        <v>46.45</v>
      </c>
      <c r="E861">
        <v>513.78</v>
      </c>
      <c r="F861">
        <v>538.54999999999995</v>
      </c>
      <c r="G861">
        <v>127.47</v>
      </c>
      <c r="H861">
        <v>24.51</v>
      </c>
      <c r="I861" t="s">
        <v>34</v>
      </c>
      <c r="J861" s="1">
        <v>45882</v>
      </c>
      <c r="K861">
        <v>2025</v>
      </c>
    </row>
    <row r="862" spans="1:11" x14ac:dyDescent="0.25">
      <c r="A862">
        <v>957</v>
      </c>
      <c r="B862" t="s">
        <v>17</v>
      </c>
      <c r="C862" t="s">
        <v>34</v>
      </c>
      <c r="D862" s="6">
        <v>49.07</v>
      </c>
      <c r="E862">
        <v>429.73</v>
      </c>
      <c r="F862">
        <v>515.65</v>
      </c>
      <c r="G862">
        <v>219.05</v>
      </c>
      <c r="H862">
        <v>17.18</v>
      </c>
      <c r="I862" t="s">
        <v>13</v>
      </c>
      <c r="J862" s="1">
        <v>45883</v>
      </c>
      <c r="K862">
        <v>2025</v>
      </c>
    </row>
    <row r="863" spans="1:11" x14ac:dyDescent="0.25">
      <c r="A863">
        <v>958</v>
      </c>
      <c r="B863" t="s">
        <v>17</v>
      </c>
      <c r="C863" t="s">
        <v>12</v>
      </c>
      <c r="D863" s="6">
        <v>52.29</v>
      </c>
      <c r="E863">
        <v>379.53</v>
      </c>
      <c r="F863">
        <v>674.55</v>
      </c>
      <c r="G863">
        <v>177.75</v>
      </c>
      <c r="H863">
        <v>29.51</v>
      </c>
      <c r="I863" t="s">
        <v>34</v>
      </c>
      <c r="J863" s="1">
        <v>45884</v>
      </c>
      <c r="K863">
        <v>2025</v>
      </c>
    </row>
    <row r="864" spans="1:11" x14ac:dyDescent="0.25">
      <c r="A864">
        <v>959</v>
      </c>
      <c r="B864" t="s">
        <v>21</v>
      </c>
      <c r="C864" t="s">
        <v>12</v>
      </c>
      <c r="D864" s="6">
        <v>52.4</v>
      </c>
      <c r="E864">
        <v>550.54</v>
      </c>
      <c r="F864">
        <v>401.47</v>
      </c>
      <c r="G864">
        <v>154.93</v>
      </c>
      <c r="H864">
        <v>26.08</v>
      </c>
      <c r="I864" t="s">
        <v>13</v>
      </c>
      <c r="J864" s="1">
        <v>45885</v>
      </c>
      <c r="K864">
        <v>2025</v>
      </c>
    </row>
    <row r="865" spans="1:11" x14ac:dyDescent="0.25">
      <c r="A865">
        <v>960</v>
      </c>
      <c r="B865" t="s">
        <v>11</v>
      </c>
      <c r="C865" t="s">
        <v>20</v>
      </c>
      <c r="D865" s="6">
        <v>59.04</v>
      </c>
      <c r="E865">
        <v>519.58000000000004</v>
      </c>
      <c r="F865">
        <v>368.32</v>
      </c>
      <c r="G865">
        <v>230.17</v>
      </c>
      <c r="H865">
        <v>38.86</v>
      </c>
      <c r="I865" t="s">
        <v>13</v>
      </c>
      <c r="J865" s="1">
        <v>45886</v>
      </c>
      <c r="K865">
        <v>2025</v>
      </c>
    </row>
    <row r="866" spans="1:11" x14ac:dyDescent="0.25">
      <c r="A866">
        <v>961</v>
      </c>
      <c r="B866" t="s">
        <v>14</v>
      </c>
      <c r="C866" t="s">
        <v>20</v>
      </c>
      <c r="D866" s="6">
        <v>34.6</v>
      </c>
      <c r="E866">
        <v>569.5</v>
      </c>
      <c r="F866">
        <v>466.02</v>
      </c>
      <c r="G866">
        <v>159.4</v>
      </c>
      <c r="H866">
        <v>30.51</v>
      </c>
      <c r="I866" t="s">
        <v>34</v>
      </c>
      <c r="J866" s="1">
        <v>45887</v>
      </c>
      <c r="K866">
        <v>2025</v>
      </c>
    </row>
    <row r="867" spans="1:11" x14ac:dyDescent="0.25">
      <c r="A867">
        <v>962</v>
      </c>
      <c r="B867" t="s">
        <v>21</v>
      </c>
      <c r="C867" t="s">
        <v>20</v>
      </c>
      <c r="D867" s="6">
        <v>35.14</v>
      </c>
      <c r="E867">
        <v>353.78</v>
      </c>
      <c r="F867">
        <v>679.78</v>
      </c>
      <c r="G867">
        <v>186.27</v>
      </c>
      <c r="H867">
        <v>32.35</v>
      </c>
      <c r="I867" t="s">
        <v>13</v>
      </c>
      <c r="J867" s="1">
        <v>45888</v>
      </c>
      <c r="K867">
        <v>2025</v>
      </c>
    </row>
    <row r="868" spans="1:11" x14ac:dyDescent="0.25">
      <c r="A868">
        <v>963</v>
      </c>
      <c r="B868" t="s">
        <v>11</v>
      </c>
      <c r="C868" t="s">
        <v>34</v>
      </c>
      <c r="D868" s="6">
        <v>55.29</v>
      </c>
      <c r="E868">
        <v>382.77</v>
      </c>
      <c r="F868">
        <v>373.9</v>
      </c>
      <c r="G868">
        <v>155.19</v>
      </c>
      <c r="H868">
        <v>29.4</v>
      </c>
      <c r="I868" t="s">
        <v>34</v>
      </c>
      <c r="J868" s="1">
        <v>45889</v>
      </c>
      <c r="K868">
        <v>2025</v>
      </c>
    </row>
    <row r="869" spans="1:11" x14ac:dyDescent="0.25">
      <c r="A869">
        <v>964</v>
      </c>
      <c r="B869" t="s">
        <v>14</v>
      </c>
      <c r="C869" t="s">
        <v>20</v>
      </c>
      <c r="D869" s="6">
        <v>29.61</v>
      </c>
      <c r="E869">
        <v>614.69000000000005</v>
      </c>
      <c r="F869">
        <v>169.39</v>
      </c>
      <c r="G869">
        <v>215.17</v>
      </c>
      <c r="H869">
        <v>30.47</v>
      </c>
      <c r="I869" t="s">
        <v>13</v>
      </c>
    </row>
    <row r="870" spans="1:11" x14ac:dyDescent="0.25">
      <c r="A870">
        <v>966</v>
      </c>
      <c r="B870" t="s">
        <v>21</v>
      </c>
      <c r="C870" t="s">
        <v>19</v>
      </c>
      <c r="D870" s="6">
        <v>38.200000000000003</v>
      </c>
      <c r="E870">
        <v>553.34</v>
      </c>
      <c r="F870">
        <v>593.94000000000005</v>
      </c>
      <c r="G870">
        <v>106.95</v>
      </c>
      <c r="H870">
        <v>24.8</v>
      </c>
      <c r="I870" t="s">
        <v>13</v>
      </c>
      <c r="J870" s="1">
        <v>45892</v>
      </c>
      <c r="K870">
        <v>2025</v>
      </c>
    </row>
    <row r="871" spans="1:11" x14ac:dyDescent="0.25">
      <c r="A871">
        <v>967</v>
      </c>
      <c r="B871" t="s">
        <v>17</v>
      </c>
      <c r="C871" t="s">
        <v>15</v>
      </c>
      <c r="D871" s="6">
        <v>65.73</v>
      </c>
      <c r="E871">
        <v>403.73</v>
      </c>
      <c r="F871">
        <v>358.34</v>
      </c>
      <c r="G871">
        <v>205.63</v>
      </c>
      <c r="H871">
        <v>35.44</v>
      </c>
      <c r="I871" t="s">
        <v>13</v>
      </c>
      <c r="J871" s="1">
        <v>45893</v>
      </c>
      <c r="K871">
        <v>2025</v>
      </c>
    </row>
    <row r="872" spans="1:11" x14ac:dyDescent="0.25">
      <c r="A872">
        <v>969</v>
      </c>
      <c r="B872" t="s">
        <v>14</v>
      </c>
      <c r="C872" t="s">
        <v>16</v>
      </c>
      <c r="D872" s="6">
        <v>47.81</v>
      </c>
      <c r="E872">
        <v>599.13</v>
      </c>
      <c r="F872">
        <v>355.69</v>
      </c>
      <c r="G872">
        <v>178.93</v>
      </c>
      <c r="H872">
        <v>28.01</v>
      </c>
      <c r="I872" t="s">
        <v>34</v>
      </c>
      <c r="J872" s="1">
        <v>45895</v>
      </c>
      <c r="K872">
        <v>2025</v>
      </c>
    </row>
    <row r="873" spans="1:11" x14ac:dyDescent="0.25">
      <c r="A873">
        <v>970</v>
      </c>
      <c r="B873" t="s">
        <v>34</v>
      </c>
      <c r="C873" t="s">
        <v>15</v>
      </c>
      <c r="D873" s="6">
        <v>62.28</v>
      </c>
      <c r="E873">
        <v>603.84</v>
      </c>
      <c r="F873">
        <v>462.41</v>
      </c>
      <c r="G873">
        <v>143.44999999999999</v>
      </c>
      <c r="H873">
        <v>32.43</v>
      </c>
      <c r="I873" t="s">
        <v>34</v>
      </c>
      <c r="J873" s="1">
        <v>45896</v>
      </c>
      <c r="K873">
        <v>2025</v>
      </c>
    </row>
    <row r="874" spans="1:11" x14ac:dyDescent="0.25">
      <c r="A874">
        <v>971</v>
      </c>
      <c r="B874" t="s">
        <v>34</v>
      </c>
      <c r="C874" t="s">
        <v>16</v>
      </c>
      <c r="D874" s="6">
        <v>39.369999999999997</v>
      </c>
      <c r="E874">
        <v>391.17</v>
      </c>
      <c r="F874">
        <v>570.32000000000005</v>
      </c>
      <c r="G874">
        <v>221.05</v>
      </c>
      <c r="H874">
        <v>32.53</v>
      </c>
      <c r="I874" t="s">
        <v>34</v>
      </c>
      <c r="J874" s="1">
        <v>45897</v>
      </c>
      <c r="K874">
        <v>2025</v>
      </c>
    </row>
    <row r="875" spans="1:11" x14ac:dyDescent="0.25">
      <c r="A875">
        <v>972</v>
      </c>
      <c r="B875" t="s">
        <v>34</v>
      </c>
      <c r="C875" t="s">
        <v>16</v>
      </c>
      <c r="D875" s="6">
        <v>41.27</v>
      </c>
      <c r="E875">
        <v>372.06</v>
      </c>
      <c r="F875">
        <v>337.5</v>
      </c>
      <c r="G875">
        <v>250.08</v>
      </c>
      <c r="H875">
        <v>39.950000000000003</v>
      </c>
      <c r="I875" t="s">
        <v>13</v>
      </c>
      <c r="J875" s="1">
        <v>45898</v>
      </c>
      <c r="K875">
        <v>2025</v>
      </c>
    </row>
    <row r="876" spans="1:11" x14ac:dyDescent="0.25">
      <c r="A876">
        <v>973</v>
      </c>
      <c r="B876" t="s">
        <v>34</v>
      </c>
      <c r="C876" t="s">
        <v>12</v>
      </c>
      <c r="D876" s="6">
        <v>37.39</v>
      </c>
      <c r="E876">
        <v>489.14</v>
      </c>
      <c r="F876">
        <v>501.78</v>
      </c>
      <c r="G876">
        <v>244.53</v>
      </c>
      <c r="H876">
        <v>30.82</v>
      </c>
      <c r="I876" t="s">
        <v>13</v>
      </c>
      <c r="J876" s="1">
        <v>45899</v>
      </c>
      <c r="K876">
        <v>2025</v>
      </c>
    </row>
    <row r="877" spans="1:11" x14ac:dyDescent="0.25">
      <c r="A877">
        <v>974</v>
      </c>
      <c r="B877" t="s">
        <v>14</v>
      </c>
      <c r="C877" t="s">
        <v>19</v>
      </c>
      <c r="D877" s="6">
        <v>41.35</v>
      </c>
      <c r="E877">
        <v>420.07</v>
      </c>
      <c r="F877">
        <v>625.79999999999995</v>
      </c>
      <c r="G877">
        <v>218.3</v>
      </c>
      <c r="H877">
        <v>24.69</v>
      </c>
      <c r="I877" t="s">
        <v>13</v>
      </c>
      <c r="J877" s="1">
        <v>45900</v>
      </c>
      <c r="K877">
        <v>2025</v>
      </c>
    </row>
    <row r="878" spans="1:11" x14ac:dyDescent="0.25">
      <c r="A878">
        <v>975</v>
      </c>
      <c r="B878" t="s">
        <v>14</v>
      </c>
      <c r="C878" t="s">
        <v>20</v>
      </c>
      <c r="D878" s="6">
        <v>253.06</v>
      </c>
      <c r="E878">
        <v>1671.93</v>
      </c>
      <c r="F878">
        <v>536.87</v>
      </c>
      <c r="G878">
        <v>204.9</v>
      </c>
      <c r="H878">
        <v>29.42</v>
      </c>
      <c r="I878" t="s">
        <v>22</v>
      </c>
      <c r="J878" s="1">
        <v>45901</v>
      </c>
      <c r="K878">
        <v>2025</v>
      </c>
    </row>
    <row r="879" spans="1:11" x14ac:dyDescent="0.25">
      <c r="A879">
        <v>976</v>
      </c>
      <c r="B879" t="s">
        <v>21</v>
      </c>
      <c r="C879" t="s">
        <v>34</v>
      </c>
      <c r="D879" s="6">
        <v>54.94</v>
      </c>
      <c r="E879">
        <v>374.86</v>
      </c>
      <c r="F879">
        <v>393.52</v>
      </c>
      <c r="G879">
        <v>155.05000000000001</v>
      </c>
      <c r="H879">
        <v>33.04</v>
      </c>
      <c r="I879" t="s">
        <v>34</v>
      </c>
      <c r="J879" s="1">
        <v>45902</v>
      </c>
      <c r="K879">
        <v>2025</v>
      </c>
    </row>
    <row r="880" spans="1:11" x14ac:dyDescent="0.25">
      <c r="A880">
        <v>977</v>
      </c>
      <c r="B880" t="s">
        <v>21</v>
      </c>
      <c r="C880" t="s">
        <v>19</v>
      </c>
      <c r="D880" s="6">
        <v>59.61</v>
      </c>
      <c r="E880">
        <v>453.16</v>
      </c>
      <c r="F880">
        <v>662.25</v>
      </c>
      <c r="G880">
        <v>243.26</v>
      </c>
      <c r="H880">
        <v>34.979999999999997</v>
      </c>
      <c r="I880" t="s">
        <v>13</v>
      </c>
      <c r="J880" s="1">
        <v>45903</v>
      </c>
      <c r="K880">
        <v>2025</v>
      </c>
    </row>
    <row r="881" spans="1:11" x14ac:dyDescent="0.25">
      <c r="A881">
        <v>978</v>
      </c>
      <c r="B881" t="s">
        <v>17</v>
      </c>
      <c r="C881" t="s">
        <v>34</v>
      </c>
      <c r="D881" s="6">
        <v>31.75</v>
      </c>
      <c r="E881">
        <v>384.53</v>
      </c>
      <c r="F881">
        <v>559.01</v>
      </c>
      <c r="G881">
        <v>240.5</v>
      </c>
      <c r="H881">
        <v>21.92</v>
      </c>
      <c r="I881" t="s">
        <v>13</v>
      </c>
      <c r="J881" s="1">
        <v>45904</v>
      </c>
      <c r="K881">
        <v>2025</v>
      </c>
    </row>
    <row r="882" spans="1:11" x14ac:dyDescent="0.25">
      <c r="A882">
        <v>980</v>
      </c>
      <c r="B882" t="s">
        <v>34</v>
      </c>
      <c r="C882" t="s">
        <v>12</v>
      </c>
      <c r="D882" s="6">
        <v>38.92</v>
      </c>
      <c r="E882">
        <v>529.84</v>
      </c>
      <c r="F882">
        <v>583.71</v>
      </c>
      <c r="G882">
        <v>218.22</v>
      </c>
      <c r="H882">
        <v>25.51</v>
      </c>
      <c r="I882" t="s">
        <v>34</v>
      </c>
      <c r="J882" s="1">
        <v>45906</v>
      </c>
      <c r="K882">
        <v>2025</v>
      </c>
    </row>
    <row r="883" spans="1:11" x14ac:dyDescent="0.25">
      <c r="A883">
        <v>981</v>
      </c>
      <c r="B883" t="s">
        <v>21</v>
      </c>
      <c r="C883" t="s">
        <v>12</v>
      </c>
      <c r="D883" s="6">
        <v>47.95</v>
      </c>
      <c r="E883">
        <v>494.48</v>
      </c>
      <c r="F883">
        <v>411.44</v>
      </c>
      <c r="G883">
        <v>232.64</v>
      </c>
      <c r="H883">
        <v>27.17</v>
      </c>
      <c r="I883" t="s">
        <v>13</v>
      </c>
      <c r="J883" s="1">
        <v>45907</v>
      </c>
      <c r="K883">
        <v>2025</v>
      </c>
    </row>
    <row r="884" spans="1:11" x14ac:dyDescent="0.25">
      <c r="A884">
        <v>982</v>
      </c>
      <c r="B884" t="s">
        <v>11</v>
      </c>
      <c r="C884" t="s">
        <v>15</v>
      </c>
      <c r="D884" s="6">
        <v>73.34</v>
      </c>
      <c r="E884">
        <v>548.49</v>
      </c>
      <c r="F884">
        <v>503.59</v>
      </c>
      <c r="G884">
        <v>244.11</v>
      </c>
      <c r="H884">
        <v>34.229999999999997</v>
      </c>
      <c r="I884" t="s">
        <v>18</v>
      </c>
      <c r="J884" s="1">
        <v>45908</v>
      </c>
      <c r="K884">
        <v>2025</v>
      </c>
    </row>
    <row r="885" spans="1:11" x14ac:dyDescent="0.25">
      <c r="A885">
        <v>983</v>
      </c>
      <c r="B885" t="s">
        <v>21</v>
      </c>
      <c r="C885" t="s">
        <v>34</v>
      </c>
      <c r="D885" s="6">
        <v>52.92</v>
      </c>
      <c r="E885">
        <v>335.1</v>
      </c>
      <c r="F885">
        <v>600.96</v>
      </c>
      <c r="G885">
        <v>196.25</v>
      </c>
      <c r="H885">
        <v>33.729999999999997</v>
      </c>
      <c r="I885" t="s">
        <v>34</v>
      </c>
      <c r="J885" s="1">
        <v>45909</v>
      </c>
      <c r="K885">
        <v>2025</v>
      </c>
    </row>
    <row r="886" spans="1:11" x14ac:dyDescent="0.25">
      <c r="A886">
        <v>986</v>
      </c>
      <c r="B886" t="s">
        <v>21</v>
      </c>
      <c r="C886" t="s">
        <v>16</v>
      </c>
      <c r="D886" s="6">
        <v>61.27</v>
      </c>
      <c r="E886">
        <v>462.77</v>
      </c>
      <c r="F886">
        <v>660.67</v>
      </c>
      <c r="G886">
        <v>149.63999999999999</v>
      </c>
      <c r="H886">
        <v>27.32</v>
      </c>
      <c r="I886" t="s">
        <v>13</v>
      </c>
      <c r="J886" s="1">
        <v>45912</v>
      </c>
      <c r="K886">
        <v>2025</v>
      </c>
    </row>
    <row r="887" spans="1:11" x14ac:dyDescent="0.25">
      <c r="A887">
        <v>987</v>
      </c>
      <c r="B887" t="s">
        <v>21</v>
      </c>
      <c r="C887" t="s">
        <v>34</v>
      </c>
      <c r="D887" s="6">
        <v>45.52</v>
      </c>
      <c r="E887">
        <v>582.47</v>
      </c>
      <c r="F887">
        <v>619.75</v>
      </c>
      <c r="G887">
        <v>197.45</v>
      </c>
      <c r="H887">
        <v>44.46</v>
      </c>
      <c r="I887" t="s">
        <v>22</v>
      </c>
      <c r="J887" s="1">
        <v>45913</v>
      </c>
      <c r="K887">
        <v>2025</v>
      </c>
    </row>
    <row r="888" spans="1:11" x14ac:dyDescent="0.25">
      <c r="A888">
        <v>988</v>
      </c>
      <c r="B888" t="s">
        <v>21</v>
      </c>
      <c r="C888" t="s">
        <v>16</v>
      </c>
      <c r="D888" s="6">
        <v>37.24</v>
      </c>
      <c r="E888">
        <v>581.6</v>
      </c>
      <c r="F888">
        <v>469.53</v>
      </c>
      <c r="G888">
        <v>187.66</v>
      </c>
      <c r="H888">
        <v>31.39</v>
      </c>
      <c r="I888" t="s">
        <v>22</v>
      </c>
      <c r="J888" s="1">
        <v>45914</v>
      </c>
      <c r="K888">
        <v>2025</v>
      </c>
    </row>
    <row r="889" spans="1:11" x14ac:dyDescent="0.25">
      <c r="A889">
        <v>989</v>
      </c>
      <c r="B889" t="s">
        <v>34</v>
      </c>
      <c r="C889" t="s">
        <v>12</v>
      </c>
      <c r="D889" s="6">
        <v>49.7</v>
      </c>
      <c r="E889">
        <v>586.52</v>
      </c>
      <c r="F889">
        <v>582.41</v>
      </c>
      <c r="G889">
        <v>307.25</v>
      </c>
      <c r="H889">
        <v>25.8</v>
      </c>
      <c r="I889" t="s">
        <v>22</v>
      </c>
      <c r="J889" s="1">
        <v>45915</v>
      </c>
      <c r="K889">
        <v>2025</v>
      </c>
    </row>
    <row r="890" spans="1:11" x14ac:dyDescent="0.25">
      <c r="A890">
        <v>990</v>
      </c>
      <c r="B890" t="s">
        <v>17</v>
      </c>
      <c r="C890" t="s">
        <v>19</v>
      </c>
      <c r="D890" s="6">
        <v>44.32</v>
      </c>
      <c r="E890">
        <v>516.66999999999996</v>
      </c>
      <c r="F890">
        <v>435.67</v>
      </c>
      <c r="G890">
        <v>244.73</v>
      </c>
      <c r="H890">
        <v>36.61</v>
      </c>
      <c r="I890" t="s">
        <v>22</v>
      </c>
      <c r="J890" s="1">
        <v>45916</v>
      </c>
      <c r="K890">
        <v>2025</v>
      </c>
    </row>
    <row r="891" spans="1:11" x14ac:dyDescent="0.25">
      <c r="A891">
        <v>991</v>
      </c>
      <c r="B891" t="s">
        <v>17</v>
      </c>
      <c r="C891" t="s">
        <v>34</v>
      </c>
      <c r="D891" s="6">
        <v>34.75</v>
      </c>
      <c r="E891">
        <v>556.61</v>
      </c>
      <c r="F891">
        <v>491.64</v>
      </c>
      <c r="G891">
        <v>248.48</v>
      </c>
      <c r="H891">
        <v>36.79</v>
      </c>
      <c r="I891" t="s">
        <v>13</v>
      </c>
      <c r="J891" s="1">
        <v>45917</v>
      </c>
      <c r="K891">
        <v>2025</v>
      </c>
    </row>
    <row r="892" spans="1:11" x14ac:dyDescent="0.25">
      <c r="A892">
        <v>992</v>
      </c>
      <c r="B892" t="s">
        <v>34</v>
      </c>
      <c r="C892" t="s">
        <v>12</v>
      </c>
      <c r="D892" s="6">
        <v>52.41</v>
      </c>
      <c r="E892">
        <v>569.9</v>
      </c>
      <c r="F892">
        <v>462.69</v>
      </c>
      <c r="G892">
        <v>223.57</v>
      </c>
      <c r="H892">
        <v>38.96</v>
      </c>
      <c r="I892" t="s">
        <v>22</v>
      </c>
      <c r="J892" s="1">
        <v>45918</v>
      </c>
      <c r="K892">
        <v>2025</v>
      </c>
    </row>
    <row r="893" spans="1:11" x14ac:dyDescent="0.25">
      <c r="A893">
        <v>993</v>
      </c>
      <c r="B893" t="s">
        <v>21</v>
      </c>
      <c r="C893" t="s">
        <v>15</v>
      </c>
      <c r="D893" s="6">
        <v>52.66</v>
      </c>
      <c r="E893">
        <v>563.54</v>
      </c>
      <c r="F893">
        <v>440.53</v>
      </c>
      <c r="G893">
        <v>181.63</v>
      </c>
      <c r="H893">
        <v>40.44</v>
      </c>
      <c r="I893" t="s">
        <v>13</v>
      </c>
      <c r="J893" s="1">
        <v>45919</v>
      </c>
      <c r="K893">
        <v>2025</v>
      </c>
    </row>
    <row r="894" spans="1:11" x14ac:dyDescent="0.25">
      <c r="A894">
        <v>994</v>
      </c>
      <c r="B894" t="s">
        <v>11</v>
      </c>
      <c r="C894" t="s">
        <v>16</v>
      </c>
      <c r="D894" s="6">
        <v>67.69</v>
      </c>
      <c r="E894">
        <v>388.26</v>
      </c>
      <c r="F894">
        <v>523.12</v>
      </c>
      <c r="G894">
        <v>186.23</v>
      </c>
      <c r="H894">
        <v>33.54</v>
      </c>
      <c r="I894" t="s">
        <v>13</v>
      </c>
      <c r="J894" s="1">
        <v>45920</v>
      </c>
      <c r="K894">
        <v>2025</v>
      </c>
    </row>
    <row r="895" spans="1:11" x14ac:dyDescent="0.25">
      <c r="A895">
        <v>995</v>
      </c>
      <c r="B895" t="s">
        <v>14</v>
      </c>
      <c r="C895" t="s">
        <v>12</v>
      </c>
      <c r="D895" s="6">
        <v>46.38</v>
      </c>
      <c r="E895">
        <v>329.26</v>
      </c>
      <c r="F895">
        <v>335.02</v>
      </c>
      <c r="G895">
        <v>190.81</v>
      </c>
      <c r="H895">
        <v>28.25</v>
      </c>
      <c r="I895" t="s">
        <v>34</v>
      </c>
      <c r="J895" s="1">
        <v>45921</v>
      </c>
      <c r="K895">
        <v>2025</v>
      </c>
    </row>
    <row r="896" spans="1:11" x14ac:dyDescent="0.25">
      <c r="A896">
        <v>996</v>
      </c>
      <c r="B896" t="s">
        <v>21</v>
      </c>
      <c r="C896" t="s">
        <v>12</v>
      </c>
      <c r="D896" s="6">
        <v>52.8</v>
      </c>
      <c r="E896">
        <v>344.64</v>
      </c>
      <c r="F896">
        <v>449.81</v>
      </c>
      <c r="G896">
        <v>209.41</v>
      </c>
      <c r="H896">
        <v>28.99</v>
      </c>
      <c r="I896" t="s">
        <v>13</v>
      </c>
      <c r="J896" s="1">
        <v>45922</v>
      </c>
      <c r="K896">
        <v>2025</v>
      </c>
    </row>
    <row r="897" spans="1:11" x14ac:dyDescent="0.25">
      <c r="A897">
        <v>998</v>
      </c>
      <c r="B897" t="s">
        <v>34</v>
      </c>
      <c r="C897" t="s">
        <v>20</v>
      </c>
      <c r="D897" s="6">
        <v>58.73</v>
      </c>
      <c r="E897">
        <v>559.39</v>
      </c>
      <c r="F897">
        <v>700.57</v>
      </c>
      <c r="G897">
        <v>200.04</v>
      </c>
      <c r="H897">
        <v>27.98</v>
      </c>
      <c r="I897" t="s">
        <v>22</v>
      </c>
      <c r="J897" s="1">
        <v>45924</v>
      </c>
      <c r="K897">
        <v>2025</v>
      </c>
    </row>
    <row r="898" spans="1:11" x14ac:dyDescent="0.25">
      <c r="A898">
        <v>999</v>
      </c>
      <c r="B898" t="s">
        <v>11</v>
      </c>
      <c r="C898" t="s">
        <v>19</v>
      </c>
      <c r="D898" s="6">
        <v>48.75</v>
      </c>
      <c r="E898">
        <v>389.56</v>
      </c>
      <c r="F898">
        <v>339.9</v>
      </c>
      <c r="G898">
        <v>185.47</v>
      </c>
      <c r="H898">
        <v>36.200000000000003</v>
      </c>
      <c r="I898" t="s">
        <v>13</v>
      </c>
      <c r="J898" s="1">
        <v>45925</v>
      </c>
      <c r="K898">
        <v>2025</v>
      </c>
    </row>
    <row r="899" spans="1:11" x14ac:dyDescent="0.25">
      <c r="A899">
        <v>1000</v>
      </c>
      <c r="B899" t="s">
        <v>21</v>
      </c>
      <c r="C899" t="s">
        <v>34</v>
      </c>
      <c r="D899" s="6">
        <v>38.270000000000003</v>
      </c>
      <c r="E899">
        <v>592.4</v>
      </c>
      <c r="F899">
        <v>542.47</v>
      </c>
      <c r="G899">
        <v>170.29</v>
      </c>
      <c r="H899">
        <v>30</v>
      </c>
      <c r="I899" t="s">
        <v>13</v>
      </c>
      <c r="J899" s="1">
        <v>45926</v>
      </c>
      <c r="K899">
        <v>2025</v>
      </c>
    </row>
  </sheetData>
  <phoneticPr fontId="18" type="noConversion"/>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1"/>
  <sheetViews>
    <sheetView tabSelected="1" topLeftCell="A47" workbookViewId="0">
      <selection activeCell="A58" sqref="A58:B62"/>
    </sheetView>
  </sheetViews>
  <sheetFormatPr defaultRowHeight="15" x14ac:dyDescent="0.25"/>
  <cols>
    <col min="1" max="1" width="13.140625" bestFit="1" customWidth="1"/>
    <col min="2" max="2" width="20.42578125" bestFit="1" customWidth="1"/>
    <col min="3" max="3" width="17.28515625" bestFit="1" customWidth="1"/>
    <col min="4" max="4" width="22.140625" bestFit="1" customWidth="1"/>
    <col min="5" max="7" width="12" bestFit="1" customWidth="1"/>
  </cols>
  <sheetData>
    <row r="1" spans="1:3" x14ac:dyDescent="0.25">
      <c r="A1" s="2" t="s">
        <v>23</v>
      </c>
      <c r="B1" t="s">
        <v>27</v>
      </c>
      <c r="C1" t="s">
        <v>28</v>
      </c>
    </row>
    <row r="2" spans="1:3" x14ac:dyDescent="0.25">
      <c r="A2" s="3">
        <v>2023</v>
      </c>
      <c r="B2" s="4">
        <v>172560.94999999981</v>
      </c>
      <c r="C2" s="4">
        <v>158052.30000000008</v>
      </c>
    </row>
    <row r="3" spans="1:3" x14ac:dyDescent="0.25">
      <c r="A3" s="3">
        <v>2024</v>
      </c>
      <c r="B3" s="4">
        <v>173657.84</v>
      </c>
      <c r="C3" s="4">
        <v>157456.53999999992</v>
      </c>
    </row>
    <row r="4" spans="1:3" x14ac:dyDescent="0.25">
      <c r="A4" s="3">
        <v>2025</v>
      </c>
      <c r="B4" s="4">
        <v>122394.70000000003</v>
      </c>
      <c r="C4" s="4">
        <v>112552.96999999999</v>
      </c>
    </row>
    <row r="5" spans="1:3" x14ac:dyDescent="0.25">
      <c r="A5" s="3" t="s">
        <v>24</v>
      </c>
      <c r="B5" s="4">
        <v>468613.48999999982</v>
      </c>
      <c r="C5" s="4">
        <v>428061.80999999994</v>
      </c>
    </row>
    <row r="7" spans="1:3" x14ac:dyDescent="0.25">
      <c r="A7" s="2" t="s">
        <v>23</v>
      </c>
      <c r="B7" t="s">
        <v>30</v>
      </c>
    </row>
    <row r="8" spans="1:3" x14ac:dyDescent="0.25">
      <c r="A8" s="3" t="s">
        <v>13</v>
      </c>
      <c r="B8" s="5">
        <v>0.3819599109131403</v>
      </c>
    </row>
    <row r="9" spans="1:3" x14ac:dyDescent="0.25">
      <c r="A9" s="3" t="s">
        <v>18</v>
      </c>
      <c r="B9" s="5">
        <v>0.40979955456570155</v>
      </c>
    </row>
    <row r="10" spans="1:3" x14ac:dyDescent="0.25">
      <c r="A10" s="3" t="s">
        <v>34</v>
      </c>
      <c r="B10" s="5">
        <v>0.20824053452115812</v>
      </c>
    </row>
    <row r="11" spans="1:3" x14ac:dyDescent="0.25">
      <c r="A11" s="3" t="s">
        <v>24</v>
      </c>
      <c r="B11" s="5">
        <v>1</v>
      </c>
    </row>
    <row r="12" spans="1:3" x14ac:dyDescent="0.25">
      <c r="A12" s="2" t="s">
        <v>23</v>
      </c>
      <c r="B12" t="s">
        <v>32</v>
      </c>
    </row>
    <row r="13" spans="1:3" x14ac:dyDescent="0.25">
      <c r="A13" s="3" t="s">
        <v>15</v>
      </c>
      <c r="B13" s="6">
        <v>54.89664495114004</v>
      </c>
    </row>
    <row r="14" spans="1:3" x14ac:dyDescent="0.25">
      <c r="A14" s="3" t="s">
        <v>12</v>
      </c>
      <c r="B14" s="6">
        <v>63.416064516129019</v>
      </c>
    </row>
    <row r="15" spans="1:3" x14ac:dyDescent="0.25">
      <c r="A15" s="3" t="s">
        <v>20</v>
      </c>
      <c r="B15" s="6">
        <v>55.935238095238105</v>
      </c>
    </row>
    <row r="16" spans="1:3" x14ac:dyDescent="0.25">
      <c r="A16" s="3" t="s">
        <v>19</v>
      </c>
      <c r="B16" s="6">
        <v>51.945439999999998</v>
      </c>
    </row>
    <row r="17" spans="1:3" x14ac:dyDescent="0.25">
      <c r="A17" s="3" t="s">
        <v>34</v>
      </c>
      <c r="B17" s="6">
        <v>58.595060975609755</v>
      </c>
    </row>
    <row r="18" spans="1:3" x14ac:dyDescent="0.25">
      <c r="A18" s="3" t="s">
        <v>24</v>
      </c>
      <c r="B18" s="6">
        <v>56.801792873051234</v>
      </c>
    </row>
    <row r="20" spans="1:3" x14ac:dyDescent="0.25">
      <c r="A20" s="2" t="s">
        <v>23</v>
      </c>
      <c r="B20" t="s">
        <v>27</v>
      </c>
      <c r="C20" t="s">
        <v>28</v>
      </c>
    </row>
    <row r="21" spans="1:3" x14ac:dyDescent="0.25">
      <c r="A21" s="3" t="s">
        <v>17</v>
      </c>
      <c r="B21" s="4">
        <v>58636.560000000012</v>
      </c>
      <c r="C21" s="4">
        <v>54398.570000000022</v>
      </c>
    </row>
    <row r="22" spans="1:3" x14ac:dyDescent="0.25">
      <c r="A22" s="3" t="s">
        <v>14</v>
      </c>
      <c r="B22" s="4">
        <v>143827.17000000007</v>
      </c>
      <c r="C22" s="4">
        <v>129867.41999999995</v>
      </c>
    </row>
    <row r="23" spans="1:3" x14ac:dyDescent="0.25">
      <c r="A23" s="3" t="s">
        <v>21</v>
      </c>
      <c r="B23" s="4">
        <v>129926.59000000001</v>
      </c>
      <c r="C23" s="4">
        <v>115194.22000000002</v>
      </c>
    </row>
    <row r="24" spans="1:3" x14ac:dyDescent="0.25">
      <c r="A24" s="3" t="s">
        <v>11</v>
      </c>
      <c r="B24" s="4">
        <v>72759.17</v>
      </c>
      <c r="C24" s="4">
        <v>70426.999999999971</v>
      </c>
    </row>
    <row r="25" spans="1:3" x14ac:dyDescent="0.25">
      <c r="A25" s="3" t="s">
        <v>34</v>
      </c>
      <c r="B25" s="4">
        <v>69420.33</v>
      </c>
      <c r="C25" s="4">
        <v>63217.270000000019</v>
      </c>
    </row>
    <row r="26" spans="1:3" x14ac:dyDescent="0.25">
      <c r="A26" s="3" t="s">
        <v>24</v>
      </c>
      <c r="B26" s="4">
        <v>474569.82000000012</v>
      </c>
      <c r="C26" s="4">
        <v>433104.48</v>
      </c>
    </row>
    <row r="30" spans="1:3" x14ac:dyDescent="0.25">
      <c r="A30" s="2" t="s">
        <v>23</v>
      </c>
      <c r="B30" t="s">
        <v>32</v>
      </c>
    </row>
    <row r="31" spans="1:3" x14ac:dyDescent="0.25">
      <c r="A31" s="3" t="s">
        <v>17</v>
      </c>
      <c r="B31" s="6">
        <v>55.206551724137917</v>
      </c>
    </row>
    <row r="32" spans="1:3" x14ac:dyDescent="0.25">
      <c r="A32" s="3" t="s">
        <v>14</v>
      </c>
      <c r="B32" s="6">
        <v>56.067380073800706</v>
      </c>
    </row>
    <row r="33" spans="1:7" x14ac:dyDescent="0.25">
      <c r="A33" s="3" t="s">
        <v>21</v>
      </c>
      <c r="B33" s="6">
        <v>58.375338983050888</v>
      </c>
    </row>
    <row r="34" spans="1:7" x14ac:dyDescent="0.25">
      <c r="A34" s="3" t="s">
        <v>11</v>
      </c>
      <c r="B34" s="6">
        <v>54.395177304964541</v>
      </c>
    </row>
    <row r="35" spans="1:7" x14ac:dyDescent="0.25">
      <c r="A35" s="3" t="s">
        <v>34</v>
      </c>
      <c r="B35" s="6">
        <v>59.429029850746261</v>
      </c>
    </row>
    <row r="36" spans="1:7" x14ac:dyDescent="0.25">
      <c r="A36" s="3" t="s">
        <v>24</v>
      </c>
      <c r="B36" s="6">
        <v>56.801792873051284</v>
      </c>
    </row>
    <row r="37" spans="1:7" x14ac:dyDescent="0.25">
      <c r="G37" s="4"/>
    </row>
    <row r="57" spans="1:2" x14ac:dyDescent="0.25">
      <c r="A57" s="2" t="s">
        <v>23</v>
      </c>
      <c r="B57" t="s">
        <v>26</v>
      </c>
    </row>
    <row r="58" spans="1:2" x14ac:dyDescent="0.25">
      <c r="A58" s="3" t="s">
        <v>15</v>
      </c>
      <c r="B58" s="4">
        <v>158757.69000000003</v>
      </c>
    </row>
    <row r="59" spans="1:2" x14ac:dyDescent="0.25">
      <c r="A59" s="3" t="s">
        <v>12</v>
      </c>
      <c r="B59" s="4">
        <v>85002.639999999956</v>
      </c>
    </row>
    <row r="60" spans="1:2" x14ac:dyDescent="0.25">
      <c r="A60" s="3" t="s">
        <v>20</v>
      </c>
      <c r="B60" s="4">
        <v>78430.11</v>
      </c>
    </row>
    <row r="61" spans="1:2" x14ac:dyDescent="0.25">
      <c r="A61" s="3" t="s">
        <v>19</v>
      </c>
      <c r="B61" s="4">
        <v>64579.489999999976</v>
      </c>
    </row>
    <row r="62" spans="1:2" x14ac:dyDescent="0.25">
      <c r="A62" s="3" t="s">
        <v>34</v>
      </c>
      <c r="B62" s="4">
        <v>87799.890000000029</v>
      </c>
    </row>
    <row r="63" spans="1:2" x14ac:dyDescent="0.25">
      <c r="A63" s="3" t="s">
        <v>24</v>
      </c>
      <c r="B63" s="4">
        <v>474569.82</v>
      </c>
    </row>
    <row r="67" spans="1:4" x14ac:dyDescent="0.25">
      <c r="A67" t="s">
        <v>26</v>
      </c>
      <c r="B67" t="s">
        <v>31</v>
      </c>
      <c r="C67" t="s">
        <v>25</v>
      </c>
      <c r="D67" t="s">
        <v>29</v>
      </c>
    </row>
    <row r="68" spans="1:4" x14ac:dyDescent="0.25">
      <c r="A68" s="4">
        <v>474569.81999999948</v>
      </c>
      <c r="B68" s="4">
        <v>51008.00999999998</v>
      </c>
      <c r="C68" s="4">
        <v>433104.48000000056</v>
      </c>
      <c r="D68" s="4">
        <v>898</v>
      </c>
    </row>
    <row r="70" spans="1:4" x14ac:dyDescent="0.25">
      <c r="A70" t="s">
        <v>33</v>
      </c>
    </row>
    <row r="71" spans="1:4" x14ac:dyDescent="0.25">
      <c r="A71" s="1">
        <f>MAX(Table1[Date])</f>
        <v>45926</v>
      </c>
    </row>
  </sheetData>
  <pageMargins left="0.7" right="0.7" top="0.75" bottom="0.75" header="0.3" footer="0.3"/>
  <drawing r:id="rId8"/>
  <extLst>
    <ext xmlns:x14="http://schemas.microsoft.com/office/spreadsheetml/2009/9/main" uri="{A8765BA9-456A-4dab-B4F3-ACF838C121DE}">
      <x14:slicerList>
        <x14:slicer r:id="rId9"/>
      </x14:slicerList>
    </ext>
    <ext xmlns:x15="http://schemas.microsoft.com/office/spreadsheetml/2010/11/main" uri="{7E03D99C-DC04-49d9-9315-930204A7B6E9}">
      <x15:timelineRefs>
        <x15:timelineRef r:id="rId10"/>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
  <sheetViews>
    <sheetView showGridLines="0" topLeftCell="A22" zoomScale="45" zoomScaleNormal="54" workbookViewId="0">
      <selection activeCell="AE29" sqref="AE29"/>
    </sheetView>
  </sheetViews>
  <sheetFormatPr defaultRowHeight="15" x14ac:dyDescent="0.25"/>
  <sheetData/>
  <pageMargins left="0.7" right="0.7" top="0.75" bottom="0.75" header="0.3" footer="0.3"/>
  <pageSetup scale="53" fitToHeight="0" orientation="landscape"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rice_price_cleaned_dataset</vt:lpstr>
      <vt:lpstr>pivotable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Dolaimin Yaya KONE</dc:creator>
  <cp:lastModifiedBy>USER</cp:lastModifiedBy>
  <cp:lastPrinted>2026-10-24T12:14:06Z</cp:lastPrinted>
  <dcterms:created xsi:type="dcterms:W3CDTF">2026-10-23T21:50:51Z</dcterms:created>
  <dcterms:modified xsi:type="dcterms:W3CDTF">2026-10-24T16:44:43Z</dcterms:modified>
</cp:coreProperties>
</file>